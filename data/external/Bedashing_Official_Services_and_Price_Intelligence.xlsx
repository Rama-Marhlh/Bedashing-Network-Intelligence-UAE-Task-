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b58feb944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def88c3e995449c"/>
    <x:sheet xmlns:r="http://schemas.openxmlformats.org/officeDocument/2006/relationships" name="Official Services" sheetId="2" r:id="Re64a21514c824e7c"/>
    <x:sheet xmlns:r="http://schemas.openxmlformats.org/officeDocument/2006/relationships" name="Service Summary" sheetId="3" r:id="R6c16022266324898"/>
    <x:sheet xmlns:r="http://schemas.openxmlformats.org/officeDocument/2006/relationships" name="Branches 24" sheetId="4" r:id="Ra78a48fd7bd74302"/>
    <x:sheet xmlns:r="http://schemas.openxmlformats.org/officeDocument/2006/relationships" name="Revenue Scenarios" sheetId="5" r:id="Ra5333592cdad4996"/>
    <x:sheet xmlns:r="http://schemas.openxmlformats.org/officeDocument/2006/relationships" name="Capacity Model" sheetId="6" r:id="Re9ddae47d6b24c80"/>
    <x:sheet xmlns:r="http://schemas.openxmlformats.org/officeDocument/2006/relationships" name="Sources &amp; Audit" sheetId="7" r:id="R577ae371a6834c94"/>
    <x:sheet xmlns:r="http://schemas.openxmlformats.org/officeDocument/2006/relationships" name="Checks" sheetId="8" r:id="R1e25a14f815a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AED &quot;#,##0.00"/>
    <x:numFmt numFmtId="201" formatCode="0"/>
    <x:numFmt numFmtId="202" formatCode="&quot;AED &quot;#,##0"/>
    <x:numFmt numFmtId="203" formatCode="0.0%"/>
    <x:numFmt numFmtId="204" formatCode="0%"/>
  </x:numFmts>
  <x:fonts count="1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16324F"/>
      <x:name val="Aptos"/>
    </x:font>
    <x:font>
      <x:b/>
      <x:sz val="11"/>
      <x:color rgb="FFFFFFFF"/>
      <x:name val="Aptos"/>
    </x:font>
    <x:font>
      <x:sz val="10"/>
      <x:name val="Aptos"/>
    </x:font>
    <x:font>
      <x:b/>
      <x:sz val="10"/>
      <x:color rgb="FFFFFFFF"/>
      <x:name val="Aptos"/>
    </x:font>
    <x:font>
      <x:sz val="10"/>
      <x:color rgb="FF008000"/>
      <x:name val="Aptos"/>
    </x:font>
    <x:font>
      <x:b/>
      <x:sz val="18"/>
      <x:color rgb="FFFFFFFF"/>
      <x:name val="Carlito"/>
    </x:font>
    <x:font>
      <x:b/>
      <x:sz val="11"/>
      <x:name val="Carlito"/>
    </x:font>
    <x:font>
      <x:b/>
      <x:sz val="9"/>
      <x:color rgb="FFFFFFFF"/>
      <x:name val="Aptos"/>
    </x:font>
    <x:font>
      <x:sz val="9"/>
      <x:name val="Aptos"/>
    </x:font>
    <x:font>
      <x:sz val="11"/>
      <x:color rgb="FF0000FF"/>
      <x:name val="Carlito"/>
    </x:font>
    <x:font>
      <x:sz val="11"/>
      <x:color rgb="FFB42318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FDECEC"/>
      </x:patternFill>
    </x:fill>
  </x:fills>
  <x:borders count="2">
    <x:border/>
    <x:border>
      <x:top style="double">
        <x:color rgb="FF16324F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10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200" fontId="0" fillId="0" borderId="0" xfId="0" applyNumberFormat="1" applyFont="1" applyFill="1" applyBorder="1"/>
    <x:xf numFmtId="200" fontId="12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202" fontId="15" fillId="0" borderId="0" xfId="0" applyNumberFormat="1" applyFont="1" applyFill="1" applyBorder="1"/>
    <x:xf numFmtId="203" fontId="15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6" fillId="6" borderId="0" xfId="0" applyNumberFormat="1" applyFont="1" applyFill="1" applyBorder="1"/>
    <x:xf numFmtId="0" fontId="16" fillId="6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202" fontId="17" fillId="0" borderId="0" xfId="0" applyNumberFormat="1" applyFont="1" applyFill="1" applyBorder="1"/>
    <x:xf numFmtId="204" fontId="15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4bb1faeb9468c" /><Relationship Type="http://schemas.openxmlformats.org/officeDocument/2006/relationships/theme" Target="/xl/theme/theme1.xml" Id="Rc4ac0112a167464f" /><Relationship Type="http://schemas.openxmlformats.org/officeDocument/2006/relationships/sharedStrings" Target="/xl/sharedStrings.xml" Id="Re2a07018621241d8" /><Relationship Type="http://schemas.openxmlformats.org/officeDocument/2006/relationships/worksheet" Target="/xl/worksheets/sheet1.xml" Id="R5def88c3e995449c" /><Relationship Type="http://schemas.openxmlformats.org/officeDocument/2006/relationships/worksheet" Target="/xl/worksheets/sheet2.xml" Id="Re64a21514c824e7c" /><Relationship Type="http://schemas.openxmlformats.org/officeDocument/2006/relationships/worksheet" Target="/xl/worksheets/sheet3.xml" Id="R6c16022266324898" /><Relationship Type="http://schemas.openxmlformats.org/officeDocument/2006/relationships/worksheet" Target="/xl/worksheets/sheet4.xml" Id="Ra78a48fd7bd74302" /><Relationship Type="http://schemas.openxmlformats.org/officeDocument/2006/relationships/worksheet" Target="/xl/worksheets/sheet5.xml" Id="Ra5333592cdad4996" /><Relationship Type="http://schemas.openxmlformats.org/officeDocument/2006/relationships/worksheet" Target="/xl/worksheets/sheet6.xml" Id="Re9ddae47d6b24c80" /><Relationship Type="http://schemas.openxmlformats.org/officeDocument/2006/relationships/worksheet" Target="/xl/worksheets/sheet7.xml" Id="R577ae371a6834c94" /><Relationship Type="http://schemas.openxmlformats.org/officeDocument/2006/relationships/worksheet" Target="/xl/worksheets/sheet8.xml" Id="R1e25a14f815a4d79" /></Relationships>
</file>

<file path=xl/tables/table1.xml><?xml version="1.0" encoding="utf-8"?>
<x:table xmlns:x="http://schemas.openxmlformats.org/spreadsheetml/2006/main" id="1" name="ServicesTable" displayName="ServicesTable" ref="A1:N251" headerRowCount="1" totalsRowCount="0" totalsRowShown="0">
  <x:tableColumns count="14">
    <x:tableColumn id="1" name="service_id"/>
    <x:tableColumn id="2" name="category"/>
    <x:tableColumn id="3" name="subcategory"/>
    <x:tableColumn id="4" name="service_name_official"/>
    <x:tableColumn id="5" name="variant"/>
    <x:tableColumn id="6" name="duration_minutes"/>
    <x:tableColumn id="7" name="price_aed"/>
    <x:tableColumn id="8" name="price_basis"/>
    <x:tableColumn id="9" name="tax_status"/>
    <x:tableColumn id="10" name="source_url"/>
    <x:tableColumn id="11" name="retrieved_at"/>
    <x:tableColumn id="12" name="source_type"/>
    <x:tableColumn id="13" name="quality_flag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chesTable" displayName="BranchesTable" ref="A1:AF25" headerRowCount="1" totalsRowCount="0" totalsRowShown="0">
  <x:tableColumns count="32">
    <x:tableColumn id="1" name="official_store_id"/>
    <x:tableColumn id="2" name="official_branch_name"/>
    <x:tableColumn id="3" name="official_address"/>
    <x:tableColumn id="4" name="official_city"/>
    <x:tableColumn id="5" name="official_state"/>
    <x:tableColumn id="6" name="official_latitude"/>
    <x:tableColumn id="7" name="official_longitude"/>
    <x:tableColumn id="8" name="official_phone"/>
    <x:tableColumn id="9" name="official_booking_url"/>
    <x:tableColumn id="10" name="google_place_id"/>
    <x:tableColumn id="11" name="google_name"/>
    <x:tableColumn id="12" name="google_address"/>
    <x:tableColumn id="13" name="google_latitude"/>
    <x:tableColumn id="14" name="google_longitude"/>
    <x:tableColumn id="15" name="google_rating"/>
    <x:tableColumn id="16" name="google_review_count"/>
    <x:tableColumn id="17" name="google_business_status"/>
    <x:tableColumn id="18" name="google_primary_type"/>
    <x:tableColumn id="19" name="google_types"/>
    <x:tableColumn id="20" name="google_phone"/>
    <x:tableColumn id="21" name="google_website"/>
    <x:tableColumn id="22" name="google_maps_url"/>
    <x:tableColumn id="23" name="google_opening_hours"/>
    <x:tableColumn id="24" name="name_similarity"/>
    <x:tableColumn id="25" name="coordinate_distance_km"/>
    <x:tableColumn id="26" name="match_score"/>
    <x:tableColumn id="27" name="google_match_status"/>
    <x:tableColumn id="28" name="google_match_note"/>
    <x:tableColumn id="29" name="bedashing_source_url"/>
    <x:tableColumn id="30" name="google_source"/>
    <x:tableColumn id="31" name="retrieved_at"/>
    <x:tableColumn id="32" name="derived_avg_open_hours_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6650ff520046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d4d879de9ac49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>
      <x:c r="A1" s="9" t="str">
        <x:v>Bedashing Official Services &amp; Price Intelligence</x:v>
      </x:c>
      <x:c r="B1" s="9"/>
      <x:c r="C1" s="9"/>
      <x:c r="D1" s="9"/>
      <x:c r="E1" s="9"/>
      <x:c r="F1" s="9"/>
      <x:c r="G1" s="9"/>
      <x:c r="H1" s="9"/>
    </x:row>
    <x:row r="2">
      <x:c r="A2" s="9"/>
      <x:c r="B2" s="9"/>
      <x:c r="C2" s="9"/>
      <x:c r="D2" s="9"/>
      <x:c r="E2" s="9"/>
      <x:c r="F2" s="9"/>
      <x:c r="G2" s="9"/>
      <x:c r="H2" s="9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</x:row>
    <x:row r="4" ht="15" hidden="0" customHeight="1">
      <x:c r="A4" s="11" t="str">
        <x:v>Purpose</x:v>
      </x:c>
      <x:c r="B4" s="12" t="str">
        <x:v>Source-backed dataset for the geospatial retail network case study.</x:v>
      </x:c>
      <x:c r="C4" s="10"/>
      <x:c r="D4" s="10"/>
      <x:c r="E4" s="10"/>
      <x:c r="F4" s="10"/>
      <x:c r="G4" s="10"/>
      <x:c r="H4" s="10"/>
    </x:row>
    <x:row r="5" ht="15" hidden="0" customHeight="1">
      <x:c r="A5" s="11" t="str">
        <x:v>As of</x:v>
      </x:c>
      <x:c r="B5" s="12" t="str">
        <x:v>2026-09-03</x:v>
      </x:c>
      <x:c r="C5" s="10"/>
      <x:c r="D5" s="10"/>
      <x:c r="E5" s="10"/>
      <x:c r="F5" s="10"/>
      <x:c r="G5" s="10"/>
      <x:c r="H5" s="10"/>
    </x:row>
    <x:row r="6" ht="15" hidden="0" customHeight="1">
      <x:c r="A6" s="11" t="str">
        <x:v>Currency</x:v>
      </x:c>
      <x:c r="B6" s="12" t="str">
        <x:v>AED</x:v>
      </x:c>
      <x:c r="C6" s="10"/>
      <x:c r="D6" s="10"/>
      <x:c r="E6" s="10"/>
      <x:c r="F6" s="10"/>
      <x:c r="G6" s="10"/>
      <x:c r="H6" s="10"/>
    </x:row>
    <x:row r="7" ht="15" hidden="0" customHeight="1">
      <x:c r="A7" s="11" t="str">
        <x:v>Official branches</x:v>
      </x:c>
      <x:c r="B7" s="12" t="n">
        <x:v>24</x:v>
      </x:c>
      <x:c r="C7" s="10"/>
      <x:c r="D7" s="10"/>
      <x:c r="E7" s="10"/>
      <x:c r="F7" s="10"/>
      <x:c r="G7" s="10"/>
      <x:c r="H7" s="10"/>
    </x:row>
    <x:row r="8" ht="15" hidden="0" customHeight="1">
      <x:c r="A8" s="11" t="str">
        <x:v>Service-price variants</x:v>
      </x:c>
      <x:c r="B8" s="12" t="n">
        <x:v>250</x:v>
      </x:c>
      <x:c r="C8" s="10"/>
      <x:c r="D8" s="10"/>
      <x:c r="E8" s="10"/>
      <x:c r="F8" s="10"/>
      <x:c r="G8" s="10"/>
      <x:c r="H8" s="10"/>
    </x:row>
    <x:row r="9" ht="15" hidden="0" customHeight="1">
      <x:c r="A9" s="11" t="str">
        <x:v>Authoritative price source</x:v>
      </x:c>
      <x:c r="B9" s="12" t="str">
        <x:v>Official Bedashing UAE service pages</x:v>
      </x:c>
      <x:c r="C9" s="10"/>
      <x:c r="D9" s="10"/>
      <x:c r="E9" s="10"/>
      <x:c r="F9" s="10"/>
      <x:c r="G9" s="10"/>
      <x:c r="H9" s="10"/>
    </x:row>
    <x:row r="10" ht="15" hidden="0" customHeight="1">
      <x:c r="A10" s="11" t="str">
        <x:v>Revenue model status</x:v>
      </x:c>
      <x:c r="B10" s="12" t="str">
        <x:v>Scenario proxy only — not actual Bedashing revenue</x:v>
      </x:c>
      <x:c r="C10" s="10"/>
      <x:c r="D10" s="10"/>
      <x:c r="E10" s="10"/>
      <x:c r="F10" s="10"/>
      <x:c r="G10" s="10"/>
      <x:c r="H10" s="10"/>
    </x:row>
    <x:row r="11" ht="26.399999618530273" hidden="0" customHeight="1">
      <x:c r="A11" s="11" t="str">
        <x:v>Important limitation</x:v>
      </x:c>
      <x:c r="B11" s="12" t="str">
        <x:v>Public prices do not prove branch-level service availability, service mix, bookings, utilization, discounts, rent, cost, or realized revenue.</x:v>
      </x:c>
      <x:c r="C11" s="10"/>
      <x:c r="D11" s="10"/>
      <x:c r="E11" s="10"/>
      <x:c r="F11" s="10"/>
      <x:c r="G11" s="10"/>
      <x:c r="H11" s="10"/>
    </x:row>
    <x:row r="12" ht="15" hidden="0" customHeight="1">
      <x:c r="A12" s="10"/>
      <x:c r="B12" s="10"/>
      <x:c r="C12" s="10"/>
      <x:c r="D12" s="10"/>
      <x:c r="E12" s="10"/>
      <x:c r="F12" s="10"/>
      <x:c r="G12" s="10"/>
      <x:c r="H12" s="10"/>
    </x:row>
    <x:row r="13" ht="15" hidden="0" customHeight="1">
      <x:c r="A13" s="13" t="str">
        <x:v>How to use this workbook</x:v>
      </x:c>
      <x:c r="B13" s="13"/>
      <x:c r="C13" s="13"/>
      <x:c r="D13" s="13"/>
      <x:c r="E13" s="13"/>
      <x:c r="F13" s="13"/>
      <x:c r="G13" s="13"/>
      <x:c r="H13" s="13"/>
    </x:row>
    <x:row r="14" ht="15" hidden="0" customHeight="1">
      <x:c r="A14" s="12" t="str">
        <x:v>1. Use Official Services as the factual price catalogue.</x:v>
      </x:c>
      <x:c r="B14" s="12"/>
      <x:c r="C14" s="12"/>
      <x:c r="D14" s="12"/>
      <x:c r="E14" s="12"/>
      <x:c r="F14" s="12"/>
      <x:c r="G14" s="12"/>
      <x:c r="H14" s="12"/>
    </x:row>
    <x:row r="15" ht="15" hidden="0" customHeight="1">
      <x:c r="A15" s="12" t="str">
        <x:v>2. Use Branches 24 for the official network and Google review/location signals.</x:v>
      </x:c>
      <x:c r="B15" s="12"/>
      <x:c r="C15" s="12"/>
      <x:c r="D15" s="12"/>
      <x:c r="E15" s="12"/>
      <x:c r="F15" s="12"/>
      <x:c r="G15" s="12"/>
      <x:c r="H15" s="12"/>
    </x:row>
    <x:row r="16" ht="15" hidden="0" customHeight="1">
      <x:c r="A16" s="12" t="str">
        <x:v>3. Use Revenue Scenarios only as an editable directional proxy. Blue inputs are assumptions.</x:v>
      </x:c>
      <x:c r="B16" s="12"/>
      <x:c r="C16" s="12"/>
      <x:c r="D16" s="12"/>
      <x:c r="E16" s="12"/>
      <x:c r="F16" s="12"/>
      <x:c r="G16" s="12"/>
      <x:c r="H16" s="12"/>
    </x:row>
    <x:row r="17" ht="15" hidden="0" customHeight="1">
      <x:c r="A17" s="12" t="str">
        <x:v>4. Preserve quality flags; never silently “correct” unusual official values.</x:v>
      </x:c>
      <x:c r="B17" s="12"/>
      <x:c r="C17" s="12"/>
      <x:c r="D17" s="12"/>
      <x:c r="E17" s="12"/>
      <x:c r="F17" s="12"/>
      <x:c r="G17" s="12"/>
      <x:c r="H17" s="12"/>
    </x:row>
    <x:row r="18" ht="15" hidden="0" customHeight="1">
      <x:c r="A18" s="12" t="str">
        <x:v>5. For interview defense: recommendations remain market-health decisions until internal revenue, bookings, utilization, rent and contribution margin are supplied.</x:v>
      </x:c>
      <x:c r="B18" s="12"/>
      <x:c r="C18" s="12"/>
      <x:c r="D18" s="12"/>
      <x:c r="E18" s="12"/>
      <x:c r="F18" s="12"/>
      <x:c r="G18" s="12"/>
      <x:c r="H18" s="12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5" hidden="0" customHeight="1">
      <x:c r="A20" s="10"/>
      <x:c r="B20" s="10"/>
      <x:c r="C20" s="10"/>
      <x:c r="D20" s="10"/>
      <x:c r="E20" s="10"/>
      <x:c r="F20" s="10"/>
      <x:c r="G20" s="10"/>
      <x:c r="H20" s="10"/>
    </x:row>
  </x:sheetData>
  <x:mergeCells>
    <x:mergeCell ref="A1:H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6.110000610351562" hidden="0" customWidth="1"/>
    <x:col min="3" max="3" width="28" hidden="0" customWidth="1"/>
    <x:col min="4" max="4" width="42" hidden="0" customWidth="1"/>
    <x:col min="5" max="5" width="16.440000534057617" hidden="0" customWidth="1"/>
    <x:col min="6" max="6" width="12.890000343322754" hidden="0" customWidth="1"/>
    <x:col min="7" max="7" width="9.670000076293945" hidden="0" customWidth="1"/>
    <x:col min="8" max="8" width="8.670000076293945" hidden="0" customWidth="1"/>
    <x:col min="9" max="9" width="23" hidden="0" customWidth="1"/>
    <x:col min="10" max="10" width="48" hidden="0" customWidth="1"/>
    <x:col min="11" max="11" width="8.890000343322754" hidden="0" customWidth="1"/>
    <x:col min="12" max="12" width="17.889999389648438" hidden="0" customWidth="1"/>
    <x:col min="13" max="13" width="14.890000343322754" hidden="0" customWidth="1"/>
    <x:col min="14" max="14" width="48" hidden="0" customWidth="1"/>
  </x:cols>
  <x:sheetData>
    <x:row r="1" ht="15" hidden="0" customHeight="1">
      <x:c r="A1" s="16" t="str">
        <x:v>service_id</x:v>
      </x:c>
      <x:c r="B1" s="16" t="str">
        <x:v>category</x:v>
      </x:c>
      <x:c r="C1" s="16" t="str">
        <x:v>subcategory</x:v>
      </x:c>
      <x:c r="D1" s="16" t="str">
        <x:v>service_name_official</x:v>
      </x:c>
      <x:c r="E1" s="16" t="str">
        <x:v>variant</x:v>
      </x:c>
      <x:c r="F1" s="16" t="str">
        <x:v>duration_minutes</x:v>
      </x:c>
      <x:c r="G1" s="16" t="str">
        <x:v>price_aed</x:v>
      </x:c>
      <x:c r="H1" s="16" t="str">
        <x:v>price_basis</x:v>
      </x:c>
      <x:c r="I1" s="16" t="str">
        <x:v>tax_status</x:v>
      </x:c>
      <x:c r="J1" s="16" t="str">
        <x:v>source_url</x:v>
      </x:c>
      <x:c r="K1" s="16" t="str">
        <x:v>retrieved_at</x:v>
      </x:c>
      <x:c r="L1" s="16" t="str">
        <x:v>source_type</x:v>
      </x:c>
      <x:c r="M1" s="16" t="str">
        <x:v>quality_flag</x:v>
      </x:c>
      <x:c r="N1" s="16" t="str">
        <x:v>notes</x:v>
      </x:c>
    </x:row>
    <x:row r="2" ht="15" hidden="0" customHeight="1">
      <x:c r="A2" s="14" t="str">
        <x:v>SVC-0001</x:v>
      </x:c>
      <x:c r="B2" s="14" t="str">
        <x:v>Hair</x:v>
      </x:c>
      <x:c r="C2" s="14" t="str">
        <x:v>Balmain Couleur Couture</x:v>
      </x:c>
      <x:c r="D2" s="14" t="str">
        <x:v>Couleur Couture</x:v>
      </x:c>
      <x:c r="E2" s="14" t="str">
        <x:v>Short</x:v>
      </x:c>
      <x:c r="F2" s="18"/>
      <x:c r="G2" s="17" t="n">
        <x:v>400</x:v>
      </x:c>
      <x:c r="H2" s="14" t="str">
        <x:v>per service</x:v>
      </x:c>
      <x:c r="I2" s="14" t="str">
        <x:v>Inclusive of 5% VAT</x:v>
      </x:c>
      <x:c r="J2" s="19" t="str">
        <x:v>https://bedashingbeauty.com/service/hair/</x:v>
      </x:c>
      <x:c r="K2" s="14" t="str">
        <x:v>2026-09-03</x:v>
      </x:c>
      <x:c r="L2" s="14" t="str">
        <x:v>Official Bedashing website</x:v>
      </x:c>
      <x:c r="M2" s="14" t="str">
        <x:v>OK</x:v>
      </x:c>
      <x:c r="N2" s="20" t="str"/>
    </x:row>
    <x:row r="3" ht="15" hidden="0" customHeight="1">
      <x:c r="A3" s="14" t="str">
        <x:v>SVC-0002</x:v>
      </x:c>
      <x:c r="B3" s="14" t="str">
        <x:v>Hair</x:v>
      </x:c>
      <x:c r="C3" s="14" t="str">
        <x:v>Balmain Couleur Couture</x:v>
      </x:c>
      <x:c r="D3" s="14" t="str">
        <x:v>Couleur Couture</x:v>
      </x:c>
      <x:c r="E3" s="14" t="str">
        <x:v>Medium</x:v>
      </x:c>
      <x:c r="F3" s="18"/>
      <x:c r="G3" s="17" t="n">
        <x:v>520</x:v>
      </x:c>
      <x:c r="H3" s="14" t="str">
        <x:v>per service</x:v>
      </x:c>
      <x:c r="I3" s="14" t="str">
        <x:v>Inclusive of 5% VAT</x:v>
      </x:c>
      <x:c r="J3" s="19" t="str">
        <x:v>https://bedashingbeauty.com/service/hair/</x:v>
      </x:c>
      <x:c r="K3" s="14" t="str">
        <x:v>2026-09-03</x:v>
      </x:c>
      <x:c r="L3" s="14" t="str">
        <x:v>Official Bedashing website</x:v>
      </x:c>
      <x:c r="M3" s="14" t="str">
        <x:v>OK</x:v>
      </x:c>
      <x:c r="N3" s="20" t="str"/>
    </x:row>
    <x:row r="4" ht="15" hidden="0" customHeight="1">
      <x:c r="A4" s="14" t="str">
        <x:v>SVC-0003</x:v>
      </x:c>
      <x:c r="B4" s="14" t="str">
        <x:v>Hair</x:v>
      </x:c>
      <x:c r="C4" s="14" t="str">
        <x:v>Balmain Couleur Couture</x:v>
      </x:c>
      <x:c r="D4" s="14" t="str">
        <x:v>Couleur Couture</x:v>
      </x:c>
      <x:c r="E4" s="14" t="str">
        <x:v>Long</x:v>
      </x:c>
      <x:c r="F4" s="18"/>
      <x:c r="G4" s="17" t="n">
        <x:v>690</x:v>
      </x:c>
      <x:c r="H4" s="14" t="str">
        <x:v>per service</x:v>
      </x:c>
      <x:c r="I4" s="14" t="str">
        <x:v>Inclusive of 5% VAT</x:v>
      </x:c>
      <x:c r="J4" s="19" t="str">
        <x:v>https://bedashingbeauty.com/service/hair/</x:v>
      </x:c>
      <x:c r="K4" s="14" t="str">
        <x:v>2026-09-03</x:v>
      </x:c>
      <x:c r="L4" s="14" t="str">
        <x:v>Official Bedashing website</x:v>
      </x:c>
      <x:c r="M4" s="14" t="str">
        <x:v>OK</x:v>
      </x:c>
      <x:c r="N4" s="20" t="str"/>
    </x:row>
    <x:row r="5" ht="15" hidden="0" customHeight="1">
      <x:c r="A5" s="14" t="str">
        <x:v>SVC-0004</x:v>
      </x:c>
      <x:c r="B5" s="14" t="str">
        <x:v>Hair</x:v>
      </x:c>
      <x:c r="C5" s="14" t="str">
        <x:v>Balmain Couleur Couture</x:v>
      </x:c>
      <x:c r="D5" s="14" t="str">
        <x:v>Balayage /Foliage</x:v>
      </x:c>
      <x:c r="E5" s="14" t="str">
        <x:v>Short</x:v>
      </x:c>
      <x:c r="F5" s="18"/>
      <x:c r="G5" s="17" t="n">
        <x:v>810</x:v>
      </x:c>
      <x:c r="H5" s="14" t="str">
        <x:v>per service</x:v>
      </x:c>
      <x:c r="I5" s="14" t="str">
        <x:v>Inclusive of 5% VAT</x:v>
      </x:c>
      <x:c r="J5" s="19" t="str">
        <x:v>https://bedashingbeauty.com/service/hair/</x:v>
      </x:c>
      <x:c r="K5" s="14" t="str">
        <x:v>2026-09-03</x:v>
      </x:c>
      <x:c r="L5" s="14" t="str">
        <x:v>Official Bedashing website</x:v>
      </x:c>
      <x:c r="M5" s="14" t="str">
        <x:v>OK</x:v>
      </x:c>
      <x:c r="N5" s="20" t="str"/>
    </x:row>
    <x:row r="6" ht="15" hidden="0" customHeight="1">
      <x:c r="A6" s="14" t="str">
        <x:v>SVC-0005</x:v>
      </x:c>
      <x:c r="B6" s="14" t="str">
        <x:v>Hair</x:v>
      </x:c>
      <x:c r="C6" s="14" t="str">
        <x:v>Balmain Couleur Couture</x:v>
      </x:c>
      <x:c r="D6" s="14" t="str">
        <x:v>Balayage /Foliage</x:v>
      </x:c>
      <x:c r="E6" s="14" t="str">
        <x:v>Medium</x:v>
      </x:c>
      <x:c r="F6" s="18"/>
      <x:c r="G6" s="17" t="n">
        <x:v>1150</x:v>
      </x:c>
      <x:c r="H6" s="14" t="str">
        <x:v>per service</x:v>
      </x:c>
      <x:c r="I6" s="14" t="str">
        <x:v>Inclusive of 5% VAT</x:v>
      </x:c>
      <x:c r="J6" s="19" t="str">
        <x:v>https://bedashingbeauty.com/service/hair/</x:v>
      </x:c>
      <x:c r="K6" s="14" t="str">
        <x:v>2026-09-03</x:v>
      </x:c>
      <x:c r="L6" s="14" t="str">
        <x:v>Official Bedashing website</x:v>
      </x:c>
      <x:c r="M6" s="14" t="str">
        <x:v>OK</x:v>
      </x:c>
      <x:c r="N6" s="20" t="str"/>
    </x:row>
    <x:row r="7" ht="15" hidden="0" customHeight="1">
      <x:c r="A7" s="14" t="str">
        <x:v>SVC-0006</x:v>
      </x:c>
      <x:c r="B7" s="14" t="str">
        <x:v>Hair</x:v>
      </x:c>
      <x:c r="C7" s="14" t="str">
        <x:v>Balmain Couleur Couture</x:v>
      </x:c>
      <x:c r="D7" s="14" t="str">
        <x:v>Balayage /Foliage</x:v>
      </x:c>
      <x:c r="E7" s="14" t="str">
        <x:v>Long</x:v>
      </x:c>
      <x:c r="F7" s="18"/>
      <x:c r="G7" s="17" t="n">
        <x:v>1850</x:v>
      </x:c>
      <x:c r="H7" s="14" t="str">
        <x:v>per service</x:v>
      </x:c>
      <x:c r="I7" s="14" t="str">
        <x:v>Inclusive of 5% VAT</x:v>
      </x:c>
      <x:c r="J7" s="19" t="str">
        <x:v>https://bedashingbeauty.com/service/hair/</x:v>
      </x:c>
      <x:c r="K7" s="14" t="str">
        <x:v>2026-09-03</x:v>
      </x:c>
      <x:c r="L7" s="14" t="str">
        <x:v>Official Bedashing website</x:v>
      </x:c>
      <x:c r="M7" s="14" t="str">
        <x:v>OK</x:v>
      </x:c>
      <x:c r="N7" s="20" t="str"/>
    </x:row>
    <x:row r="8" ht="15" hidden="0" customHeight="1">
      <x:c r="A8" s="14" t="str">
        <x:v>SVC-0007</x:v>
      </x:c>
      <x:c r="B8" s="14" t="str">
        <x:v>Hair</x:v>
      </x:c>
      <x:c r="C8" s="14" t="str">
        <x:v>Balmain Couleur Couture</x:v>
      </x:c>
      <x:c r="D8" s="14" t="str">
        <x:v>Toner Couture</x:v>
      </x:c>
      <x:c r="E8" s="14" t="str">
        <x:v>Short</x:v>
      </x:c>
      <x:c r="F8" s="18"/>
      <x:c r="G8" s="17" t="n">
        <x:v>150</x:v>
      </x:c>
      <x:c r="H8" s="14" t="str">
        <x:v>per service</x:v>
      </x:c>
      <x:c r="I8" s="14" t="str">
        <x:v>Inclusive of 5% VAT</x:v>
      </x:c>
      <x:c r="J8" s="19" t="str">
        <x:v>https://bedashingbeauty.com/service/hair/</x:v>
      </x:c>
      <x:c r="K8" s="14" t="str">
        <x:v>2026-09-03</x:v>
      </x:c>
      <x:c r="L8" s="14" t="str">
        <x:v>Official Bedashing website</x:v>
      </x:c>
      <x:c r="M8" s="14" t="str">
        <x:v>OK</x:v>
      </x:c>
      <x:c r="N8" s="20" t="str"/>
    </x:row>
    <x:row r="9" ht="15" hidden="0" customHeight="1">
      <x:c r="A9" s="14" t="str">
        <x:v>SVC-0008</x:v>
      </x:c>
      <x:c r="B9" s="14" t="str">
        <x:v>Hair</x:v>
      </x:c>
      <x:c r="C9" s="14" t="str">
        <x:v>Balmain Couleur Couture</x:v>
      </x:c>
      <x:c r="D9" s="14" t="str">
        <x:v>Toner Couture</x:v>
      </x:c>
      <x:c r="E9" s="14" t="str">
        <x:v>Medium</x:v>
      </x:c>
      <x:c r="F9" s="18"/>
      <x:c r="G9" s="17" t="n">
        <x:v>200</x:v>
      </x:c>
      <x:c r="H9" s="14" t="str">
        <x:v>per service</x:v>
      </x:c>
      <x:c r="I9" s="14" t="str">
        <x:v>Inclusive of 5% VAT</x:v>
      </x:c>
      <x:c r="J9" s="19" t="str">
        <x:v>https://bedashingbeauty.com/service/hair/</x:v>
      </x:c>
      <x:c r="K9" s="14" t="str">
        <x:v>2026-09-03</x:v>
      </x:c>
      <x:c r="L9" s="14" t="str">
        <x:v>Official Bedashing website</x:v>
      </x:c>
      <x:c r="M9" s="14" t="str">
        <x:v>OK</x:v>
      </x:c>
      <x:c r="N9" s="20" t="str"/>
    </x:row>
    <x:row r="10" ht="15" hidden="0" customHeight="1">
      <x:c r="A10" s="14" t="str">
        <x:v>SVC-0009</x:v>
      </x:c>
      <x:c r="B10" s="14" t="str">
        <x:v>Hair</x:v>
      </x:c>
      <x:c r="C10" s="14" t="str">
        <x:v>Balmain Couleur Couture</x:v>
      </x:c>
      <x:c r="D10" s="14" t="str">
        <x:v>Toner Couture</x:v>
      </x:c>
      <x:c r="E10" s="14" t="str">
        <x:v>Long</x:v>
      </x:c>
      <x:c r="F10" s="18"/>
      <x:c r="G10" s="17" t="n">
        <x:v>250</x:v>
      </x:c>
      <x:c r="H10" s="14" t="str">
        <x:v>per service</x:v>
      </x:c>
      <x:c r="I10" s="14" t="str">
        <x:v>Inclusive of 5% VAT</x:v>
      </x:c>
      <x:c r="J10" s="19" t="str">
        <x:v>https://bedashingbeauty.com/service/hair/</x:v>
      </x:c>
      <x:c r="K10" s="14" t="str">
        <x:v>2026-09-03</x:v>
      </x:c>
      <x:c r="L10" s="14" t="str">
        <x:v>Official Bedashing website</x:v>
      </x:c>
      <x:c r="M10" s="14" t="str">
        <x:v>OK</x:v>
      </x:c>
      <x:c r="N10" s="20" t="str"/>
    </x:row>
    <x:row r="11" ht="15" hidden="0" customHeight="1">
      <x:c r="A11" s="14" t="str">
        <x:v>SVC-0010</x:v>
      </x:c>
      <x:c r="B11" s="14" t="str">
        <x:v>Hair</x:v>
      </x:c>
      <x:c r="C11" s="14" t="str">
        <x:v>Balmain Couleur Couture</x:v>
      </x:c>
      <x:c r="D11" s="14" t="str">
        <x:v>Color Removal - Clay or Powder</x:v>
      </x:c>
      <x:c r="E11" s="14" t="str">
        <x:v>Long</x:v>
      </x:c>
      <x:c r="F11" s="18" t="n">
        <x:v>140</x:v>
      </x:c>
      <x:c r="G11" s="17" t="n">
        <x:v>1000</x:v>
      </x:c>
      <x:c r="H11" s="14" t="str">
        <x:v>per service</x:v>
      </x:c>
      <x:c r="I11" s="14" t="str">
        <x:v>Inclusive of 5% VAT</x:v>
      </x:c>
      <x:c r="J11" s="19" t="str">
        <x:v>https://bedashingbeauty.com/service/hair/</x:v>
      </x:c>
      <x:c r="K11" s="14" t="str">
        <x:v>2026-09-03</x:v>
      </x:c>
      <x:c r="L11" s="14" t="str">
        <x:v>Official Bedashing website</x:v>
      </x:c>
      <x:c r="M11" s="14" t="str">
        <x:v>OK</x:v>
      </x:c>
      <x:c r="N11" s="20" t="str"/>
    </x:row>
    <x:row r="12" ht="15" hidden="0" customHeight="1">
      <x:c r="A12" s="14" t="str">
        <x:v>SVC-0011</x:v>
      </x:c>
      <x:c r="B12" s="14" t="str">
        <x:v>Hair</x:v>
      </x:c>
      <x:c r="C12" s="14" t="str">
        <x:v>Balmain Couleur Couture</x:v>
      </x:c>
      <x:c r="D12" s="14" t="str">
        <x:v>High &amp; Low Lights (half head)</x:v>
      </x:c>
      <x:c r="E12" s="14" t="str">
        <x:v>Long</x:v>
      </x:c>
      <x:c r="F12" s="18" t="n">
        <x:v>90</x:v>
      </x:c>
      <x:c r="G12" s="17" t="n">
        <x:v>450</x:v>
      </x:c>
      <x:c r="H12" s="14" t="str">
        <x:v>per service</x:v>
      </x:c>
      <x:c r="I12" s="14" t="str">
        <x:v>Inclusive of 5% VAT</x:v>
      </x:c>
      <x:c r="J12" s="19" t="str">
        <x:v>https://bedashingbeauty.com/service/hair/</x:v>
      </x:c>
      <x:c r="K12" s="14" t="str">
        <x:v>2026-09-03</x:v>
      </x:c>
      <x:c r="L12" s="14" t="str">
        <x:v>Official Bedashing website</x:v>
      </x:c>
      <x:c r="M12" s="14" t="str">
        <x:v>OK</x:v>
      </x:c>
      <x:c r="N12" s="20" t="str"/>
    </x:row>
    <x:row r="13" ht="15" hidden="0" customHeight="1">
      <x:c r="A13" s="14" t="str">
        <x:v>SVC-0012</x:v>
      </x:c>
      <x:c r="B13" s="14" t="str">
        <x:v>Hair</x:v>
      </x:c>
      <x:c r="C13" s="14" t="str">
        <x:v>Balmain Couleur Couture</x:v>
      </x:c>
      <x:c r="D13" s="14" t="str">
        <x:v>Face Framing</x:v>
      </x:c>
      <x:c r="E13" s="14" t="str">
        <x:v>Long</x:v>
      </x:c>
      <x:c r="F13" s="18" t="n">
        <x:v>45</x:v>
      </x:c>
      <x:c r="G13" s="17" t="n">
        <x:v>500</x:v>
      </x:c>
      <x:c r="H13" s="14" t="str">
        <x:v>per service</x:v>
      </x:c>
      <x:c r="I13" s="14" t="str">
        <x:v>Inclusive of 5% VAT</x:v>
      </x:c>
      <x:c r="J13" s="19" t="str">
        <x:v>https://bedashingbeauty.com/service/hair/</x:v>
      </x:c>
      <x:c r="K13" s="14" t="str">
        <x:v>2026-09-03</x:v>
      </x:c>
      <x:c r="L13" s="14" t="str">
        <x:v>Official Bedashing website</x:v>
      </x:c>
      <x:c r="M13" s="14" t="str">
        <x:v>OK</x:v>
      </x:c>
      <x:c r="N13" s="20" t="str"/>
    </x:row>
    <x:row r="14" ht="15" hidden="0" customHeight="1">
      <x:c r="A14" s="14" t="str">
        <x:v>SVC-0013</x:v>
      </x:c>
      <x:c r="B14" s="14" t="str">
        <x:v>Hair</x:v>
      </x:c>
      <x:c r="C14" s="14" t="str">
        <x:v>Balmain Couleur Couture</x:v>
      </x:c>
      <x:c r="D14" s="14" t="str">
        <x:v>Couleur Couture - Long</x:v>
      </x:c>
      <x:c r="E14" s="14" t="str">
        <x:v>Long</x:v>
      </x:c>
      <x:c r="F14" s="18" t="n">
        <x:v>30</x:v>
      </x:c>
      <x:c r="G14" s="17" t="n">
        <x:v>250</x:v>
      </x:c>
      <x:c r="H14" s="14" t="str">
        <x:v>per service</x:v>
      </x:c>
      <x:c r="I14" s="14" t="str">
        <x:v>Inclusive of 5% VAT</x:v>
      </x:c>
      <x:c r="J14" s="19" t="str">
        <x:v>https://bedashingbeauty.com/service/hair/</x:v>
      </x:c>
      <x:c r="K14" s="14" t="str">
        <x:v>2026-09-03</x:v>
      </x:c>
      <x:c r="L14" s="14" t="str">
        <x:v>Official Bedashing website</x:v>
      </x:c>
      <x:c r="M14" s="14" t="str">
        <x:v>OK</x:v>
      </x:c>
      <x:c r="N14" s="20" t="str"/>
    </x:row>
    <x:row r="15" ht="15" hidden="0" customHeight="1">
      <x:c r="A15" s="14" t="str">
        <x:v>SVC-0014</x:v>
      </x:c>
      <x:c r="B15" s="14" t="str">
        <x:v>Hair</x:v>
      </x:c>
      <x:c r="C15" s="14" t="str">
        <x:v>Balmain Couleur Couture</x:v>
      </x:c>
      <x:c r="D15" s="14" t="str">
        <x:v>Couleur Couture Roots</x:v>
      </x:c>
      <x:c r="E15" s="14" t="str">
        <x:v>Long</x:v>
      </x:c>
      <x:c r="F15" s="18" t="n">
        <x:v>30</x:v>
      </x:c>
      <x:c r="G15" s="17" t="n">
        <x:v>250</x:v>
      </x:c>
      <x:c r="H15" s="14" t="str">
        <x:v>per service</x:v>
      </x:c>
      <x:c r="I15" s="14" t="str">
        <x:v>Inclusive of 5% VAT</x:v>
      </x:c>
      <x:c r="J15" s="19" t="str">
        <x:v>https://bedashingbeauty.com/service/hair/</x:v>
      </x:c>
      <x:c r="K15" s="14" t="str">
        <x:v>2026-09-03</x:v>
      </x:c>
      <x:c r="L15" s="14" t="str">
        <x:v>Official Bedashing website</x:v>
      </x:c>
      <x:c r="M15" s="14" t="str">
        <x:v>OK</x:v>
      </x:c>
      <x:c r="N15" s="20" t="str"/>
    </x:row>
    <x:row r="16" ht="15" hidden="0" customHeight="1">
      <x:c r="A16" s="14" t="str">
        <x:v>SVC-0015</x:v>
      </x:c>
      <x:c r="B16" s="14" t="str">
        <x:v>Hair</x:v>
      </x:c>
      <x:c r="C16" s="14" t="str">
        <x:v>Hair Essentials</x:v>
      </x:c>
      <x:c r="D16" s="14" t="str">
        <x:v>Blow Dry</x:v>
      </x:c>
      <x:c r="E16" s="14" t="str">
        <x:v>Short</x:v>
      </x:c>
      <x:c r="F16" s="18" t="n">
        <x:v>45</x:v>
      </x:c>
      <x:c r="G16" s="17" t="n">
        <x:v>126</x:v>
      </x:c>
      <x:c r="H16" s="14" t="str">
        <x:v>per service</x:v>
      </x:c>
      <x:c r="I16" s="14" t="str">
        <x:v>Inclusive of 5% VAT</x:v>
      </x:c>
      <x:c r="J16" s="19" t="str">
        <x:v>https://bedashingbeauty.com/service/hair/</x:v>
      </x:c>
      <x:c r="K16" s="14" t="str">
        <x:v>2026-09-03</x:v>
      </x:c>
      <x:c r="L16" s="14" t="str">
        <x:v>Official Bedashing website</x:v>
      </x:c>
      <x:c r="M16" s="14" t="str">
        <x:v>OK</x:v>
      </x:c>
      <x:c r="N16" s="20" t="str"/>
    </x:row>
    <x:row r="17" ht="15" hidden="0" customHeight="1">
      <x:c r="A17" s="14" t="str">
        <x:v>SVC-0016</x:v>
      </x:c>
      <x:c r="B17" s="14" t="str">
        <x:v>Hair</x:v>
      </x:c>
      <x:c r="C17" s="14" t="str">
        <x:v>Hair Essentials</x:v>
      </x:c>
      <x:c r="D17" s="14" t="str">
        <x:v>Blow Dry</x:v>
      </x:c>
      <x:c r="E17" s="14" t="str">
        <x:v>Medium</x:v>
      </x:c>
      <x:c r="F17" s="18" t="n">
        <x:v>50</x:v>
      </x:c>
      <x:c r="G17" s="17" t="n">
        <x:v>136.5</x:v>
      </x:c>
      <x:c r="H17" s="14" t="str">
        <x:v>per service</x:v>
      </x:c>
      <x:c r="I17" s="14" t="str">
        <x:v>Inclusive of 5% VAT</x:v>
      </x:c>
      <x:c r="J17" s="19" t="str">
        <x:v>https://bedashingbeauty.com/service/hair/</x:v>
      </x:c>
      <x:c r="K17" s="14" t="str">
        <x:v>2026-09-03</x:v>
      </x:c>
      <x:c r="L17" s="14" t="str">
        <x:v>Official Bedashing website</x:v>
      </x:c>
      <x:c r="M17" s="14" t="str">
        <x:v>OK</x:v>
      </x:c>
      <x:c r="N17" s="20" t="str"/>
    </x:row>
    <x:row r="18" ht="15" hidden="0" customHeight="1">
      <x:c r="A18" s="14" t="str">
        <x:v>SVC-0017</x:v>
      </x:c>
      <x:c r="B18" s="14" t="str">
        <x:v>Hair</x:v>
      </x:c>
      <x:c r="C18" s="14" t="str">
        <x:v>Hair Essentials</x:v>
      </x:c>
      <x:c r="D18" s="14" t="str">
        <x:v>Blow Dry</x:v>
      </x:c>
      <x:c r="E18" s="14" t="str">
        <x:v>Long</x:v>
      </x:c>
      <x:c r="F18" s="18" t="n">
        <x:v>60</x:v>
      </x:c>
      <x:c r="G18" s="17" t="n">
        <x:v>157.5</x:v>
      </x:c>
      <x:c r="H18" s="14" t="str">
        <x:v>per service</x:v>
      </x:c>
      <x:c r="I18" s="14" t="str">
        <x:v>Inclusive of 5% VAT</x:v>
      </x:c>
      <x:c r="J18" s="19" t="str">
        <x:v>https://bedashingbeauty.com/service/hair/</x:v>
      </x:c>
      <x:c r="K18" s="14" t="str">
        <x:v>2026-09-03</x:v>
      </x:c>
      <x:c r="L18" s="14" t="str">
        <x:v>Official Bedashing website</x:v>
      </x:c>
      <x:c r="M18" s="14" t="str">
        <x:v>OK</x:v>
      </x:c>
      <x:c r="N18" s="20" t="str"/>
    </x:row>
    <x:row r="19" ht="15" hidden="0" customHeight="1">
      <x:c r="A19" s="14" t="str">
        <x:v>SVC-0018</x:v>
      </x:c>
      <x:c r="B19" s="14" t="str">
        <x:v>Hair</x:v>
      </x:c>
      <x:c r="C19" s="14" t="str">
        <x:v>Hair Essentials</x:v>
      </x:c>
      <x:c r="D19" s="14" t="str">
        <x:v>Blow Dry with Extensions</x:v>
      </x:c>
      <x:c r="E19" s="14" t="str">
        <x:v>Short</x:v>
      </x:c>
      <x:c r="F19" s="18" t="n">
        <x:v>50</x:v>
      </x:c>
      <x:c r="G19" s="17" t="n">
        <x:v>210</x:v>
      </x:c>
      <x:c r="H19" s="14" t="str">
        <x:v>per service</x:v>
      </x:c>
      <x:c r="I19" s="14" t="str">
        <x:v>Inclusive of 5% VAT</x:v>
      </x:c>
      <x:c r="J19" s="19" t="str">
        <x:v>https://bedashingbeauty.com/service/hair/</x:v>
      </x:c>
      <x:c r="K19" s="14" t="str">
        <x:v>2026-09-03</x:v>
      </x:c>
      <x:c r="L19" s="14" t="str">
        <x:v>Official Bedashing website</x:v>
      </x:c>
      <x:c r="M19" s="14" t="str">
        <x:v>OK</x:v>
      </x:c>
      <x:c r="N19" s="20" t="str"/>
    </x:row>
    <x:row r="20" ht="15" hidden="0" customHeight="1">
      <x:c r="A20" s="14" t="str">
        <x:v>SVC-0019</x:v>
      </x:c>
      <x:c r="B20" s="14" t="str">
        <x:v>Hair</x:v>
      </x:c>
      <x:c r="C20" s="14" t="str">
        <x:v>Hair Essentials</x:v>
      </x:c>
      <x:c r="D20" s="14" t="str">
        <x:v>Blow Dry with Extensions</x:v>
      </x:c>
      <x:c r="E20" s="14" t="str">
        <x:v>Medium</x:v>
      </x:c>
      <x:c r="F20" s="18" t="n">
        <x:v>60</x:v>
      </x:c>
      <x:c r="G20" s="17" t="n">
        <x:v>231</x:v>
      </x:c>
      <x:c r="H20" s="14" t="str">
        <x:v>per service</x:v>
      </x:c>
      <x:c r="I20" s="14" t="str">
        <x:v>Inclusive of 5% VAT</x:v>
      </x:c>
      <x:c r="J20" s="19" t="str">
        <x:v>https://bedashingbeauty.com/service/hair/</x:v>
      </x:c>
      <x:c r="K20" s="14" t="str">
        <x:v>2026-09-03</x:v>
      </x:c>
      <x:c r="L20" s="14" t="str">
        <x:v>Official Bedashing website</x:v>
      </x:c>
      <x:c r="M20" s="14" t="str">
        <x:v>OK</x:v>
      </x:c>
      <x:c r="N20" s="20" t="str"/>
    </x:row>
    <x:row r="21" ht="15" hidden="0" customHeight="1">
      <x:c r="A21" s="14" t="str">
        <x:v>SVC-0020</x:v>
      </x:c>
      <x:c r="B21" s="14" t="str">
        <x:v>Hair</x:v>
      </x:c>
      <x:c r="C21" s="14" t="str">
        <x:v>Hair Essentials</x:v>
      </x:c>
      <x:c r="D21" s="14" t="str">
        <x:v>Blow Dry with Extensions</x:v>
      </x:c>
      <x:c r="E21" s="14" t="str">
        <x:v>Long</x:v>
      </x:c>
      <x:c r="F21" s="18" t="n">
        <x:v>70</x:v>
      </x:c>
      <x:c r="G21" s="17" t="n">
        <x:v>252</x:v>
      </x:c>
      <x:c r="H21" s="14" t="str">
        <x:v>per service</x:v>
      </x:c>
      <x:c r="I21" s="14" t="str">
        <x:v>Inclusive of 5% VAT</x:v>
      </x:c>
      <x:c r="J21" s="19" t="str">
        <x:v>https://bedashingbeauty.com/service/hair/</x:v>
      </x:c>
      <x:c r="K21" s="14" t="str">
        <x:v>2026-09-03</x:v>
      </x:c>
      <x:c r="L21" s="14" t="str">
        <x:v>Official Bedashing website</x:v>
      </x:c>
      <x:c r="M21" s="14" t="str">
        <x:v>OK</x:v>
      </x:c>
      <x:c r="N21" s="20" t="str"/>
    </x:row>
    <x:row r="22" ht="15" hidden="0" customHeight="1">
      <x:c r="A22" s="14" t="str">
        <x:v>SVC-0021</x:v>
      </x:c>
      <x:c r="B22" s="14" t="str">
        <x:v>Hair</x:v>
      </x:c>
      <x:c r="C22" s="14" t="str">
        <x:v>Hair Essentials</x:v>
      </x:c>
      <x:c r="D22" s="14" t="str">
        <x:v>Hollywood Waves</x:v>
      </x:c>
      <x:c r="E22" s="14" t="str">
        <x:v>Short</x:v>
      </x:c>
      <x:c r="F22" s="18" t="n">
        <x:v>60</x:v>
      </x:c>
      <x:c r="G22" s="17" t="n">
        <x:v>220</x:v>
      </x:c>
      <x:c r="H22" s="14" t="str">
        <x:v>per service</x:v>
      </x:c>
      <x:c r="I22" s="14" t="str">
        <x:v>Inclusive of 5% VAT</x:v>
      </x:c>
      <x:c r="J22" s="19" t="str">
        <x:v>https://bedashingbeauty.com/service/hair/</x:v>
      </x:c>
      <x:c r="K22" s="14" t="str">
        <x:v>2026-09-03</x:v>
      </x:c>
      <x:c r="L22" s="14" t="str">
        <x:v>Official Bedashing website</x:v>
      </x:c>
      <x:c r="M22" s="14" t="str">
        <x:v>OK</x:v>
      </x:c>
      <x:c r="N22" s="20" t="str"/>
    </x:row>
    <x:row r="23" ht="15" hidden="0" customHeight="1">
      <x:c r="A23" s="14" t="str">
        <x:v>SVC-0022</x:v>
      </x:c>
      <x:c r="B23" s="14" t="str">
        <x:v>Hair</x:v>
      </x:c>
      <x:c r="C23" s="14" t="str">
        <x:v>Hair Essentials</x:v>
      </x:c>
      <x:c r="D23" s="14" t="str">
        <x:v>Hollywood Waves</x:v>
      </x:c>
      <x:c r="E23" s="14" t="str">
        <x:v>Medium</x:v>
      </x:c>
      <x:c r="F23" s="18" t="n">
        <x:v>70</x:v>
      </x:c>
      <x:c r="G23" s="17" t="n">
        <x:v>240</x:v>
      </x:c>
      <x:c r="H23" s="14" t="str">
        <x:v>per service</x:v>
      </x:c>
      <x:c r="I23" s="14" t="str">
        <x:v>Inclusive of 5% VAT</x:v>
      </x:c>
      <x:c r="J23" s="19" t="str">
        <x:v>https://bedashingbeauty.com/service/hair/</x:v>
      </x:c>
      <x:c r="K23" s="14" t="str">
        <x:v>2026-09-03</x:v>
      </x:c>
      <x:c r="L23" s="14" t="str">
        <x:v>Official Bedashing website</x:v>
      </x:c>
      <x:c r="M23" s="14" t="str">
        <x:v>OK</x:v>
      </x:c>
      <x:c r="N23" s="20" t="str"/>
    </x:row>
    <x:row r="24" ht="15" hidden="0" customHeight="1">
      <x:c r="A24" s="14" t="str">
        <x:v>SVC-0023</x:v>
      </x:c>
      <x:c r="B24" s="14" t="str">
        <x:v>Hair</x:v>
      </x:c>
      <x:c r="C24" s="14" t="str">
        <x:v>Hair Essentials</x:v>
      </x:c>
      <x:c r="D24" s="14" t="str">
        <x:v>Hollywood Waves</x:v>
      </x:c>
      <x:c r="E24" s="14" t="str">
        <x:v>Long</x:v>
      </x:c>
      <x:c r="F24" s="18" t="n">
        <x:v>80</x:v>
      </x:c>
      <x:c r="G24" s="17" t="n">
        <x:v>260</x:v>
      </x:c>
      <x:c r="H24" s="14" t="str">
        <x:v>per service</x:v>
      </x:c>
      <x:c r="I24" s="14" t="str">
        <x:v>Inclusive of 5% VAT</x:v>
      </x:c>
      <x:c r="J24" s="19" t="str">
        <x:v>https://bedashingbeauty.com/service/hair/</x:v>
      </x:c>
      <x:c r="K24" s="14" t="str">
        <x:v>2026-09-03</x:v>
      </x:c>
      <x:c r="L24" s="14" t="str">
        <x:v>Official Bedashing website</x:v>
      </x:c>
      <x:c r="M24" s="14" t="str">
        <x:v>OK</x:v>
      </x:c>
      <x:c r="N24" s="20" t="str"/>
    </x:row>
    <x:row r="25" ht="15" hidden="0" customHeight="1">
      <x:c r="A25" s="14" t="str">
        <x:v>SVC-0024</x:v>
      </x:c>
      <x:c r="B25" s="14" t="str">
        <x:v>Hair</x:v>
      </x:c>
      <x:c r="C25" s="14" t="str">
        <x:v>Hair Essentials</x:v>
      </x:c>
      <x:c r="D25" s="14" t="str">
        <x:v>Wash &amp; Dry</x:v>
      </x:c>
      <x:c r="E25" s="14" t="str">
        <x:v>Standard</x:v>
      </x:c>
      <x:c r="F25" s="18" t="n">
        <x:v>20</x:v>
      </x:c>
      <x:c r="G25" s="17" t="n">
        <x:v>90</x:v>
      </x:c>
      <x:c r="H25" s="14" t="str">
        <x:v>per service</x:v>
      </x:c>
      <x:c r="I25" s="14" t="str">
        <x:v>Inclusive of 5% VAT</x:v>
      </x:c>
      <x:c r="J25" s="19" t="str">
        <x:v>https://bedashingbeauty.com/service/hair/</x:v>
      </x:c>
      <x:c r="K25" s="14" t="str">
        <x:v>2026-09-03</x:v>
      </x:c>
      <x:c r="L25" s="14" t="str">
        <x:v>Official Bedashing website</x:v>
      </x:c>
      <x:c r="M25" s="14" t="str">
        <x:v>OK</x:v>
      </x:c>
      <x:c r="N25" s="20" t="str"/>
    </x:row>
    <x:row r="26" ht="15" hidden="0" customHeight="1">
      <x:c r="A26" s="14" t="str">
        <x:v>SVC-0025</x:v>
      </x:c>
      <x:c r="B26" s="14" t="str">
        <x:v>Hair</x:v>
      </x:c>
      <x:c r="C26" s="14" t="str">
        <x:v>Hair Essentials</x:v>
      </x:c>
      <x:c r="D26" s="14" t="str">
        <x:v>Hair Style</x:v>
      </x:c>
      <x:c r="E26" s="14" t="str">
        <x:v>Standard</x:v>
      </x:c>
      <x:c r="F26" s="18" t="n">
        <x:v>70</x:v>
      </x:c>
      <x:c r="G26" s="17" t="n">
        <x:v>367.5</x:v>
      </x:c>
      <x:c r="H26" s="14" t="str">
        <x:v>per service</x:v>
      </x:c>
      <x:c r="I26" s="14" t="str">
        <x:v>Inclusive of 5% VAT</x:v>
      </x:c>
      <x:c r="J26" s="19" t="str">
        <x:v>https://bedashingbeauty.com/service/hair/</x:v>
      </x:c>
      <x:c r="K26" s="14" t="str">
        <x:v>2026-09-03</x:v>
      </x:c>
      <x:c r="L26" s="14" t="str">
        <x:v>Official Bedashing website</x:v>
      </x:c>
      <x:c r="M26" s="14" t="str">
        <x:v>OK</x:v>
      </x:c>
      <x:c r="N26" s="20" t="str"/>
    </x:row>
    <x:row r="27" ht="15" hidden="0" customHeight="1">
      <x:c r="A27" s="14" t="str">
        <x:v>SVC-0026</x:v>
      </x:c>
      <x:c r="B27" s="14" t="str">
        <x:v>Hair</x:v>
      </x:c>
      <x:c r="C27" s="14" t="str">
        <x:v>Hair Essentials</x:v>
      </x:c>
      <x:c r="D27" s="14" t="str">
        <x:v>Hair Braiding</x:v>
      </x:c>
      <x:c r="E27" s="14" t="str">
        <x:v>Standard</x:v>
      </x:c>
      <x:c r="F27" s="18" t="n">
        <x:v>15</x:v>
      </x:c>
      <x:c r="G27" s="17" t="n">
        <x:v>52.5</x:v>
      </x:c>
      <x:c r="H27" s="14" t="str">
        <x:v>per service</x:v>
      </x:c>
      <x:c r="I27" s="14" t="str">
        <x:v>Inclusive of 5% VAT</x:v>
      </x:c>
      <x:c r="J27" s="19" t="str">
        <x:v>https://bedashingbeauty.com/service/hair/</x:v>
      </x:c>
      <x:c r="K27" s="14" t="str">
        <x:v>2026-09-03</x:v>
      </x:c>
      <x:c r="L27" s="14" t="str">
        <x:v>Official Bedashing website</x:v>
      </x:c>
      <x:c r="M27" s="14" t="str">
        <x:v>OK</x:v>
      </x:c>
      <x:c r="N27" s="20" t="str"/>
    </x:row>
    <x:row r="28" ht="15" hidden="0" customHeight="1">
      <x:c r="A28" s="14" t="str">
        <x:v>SVC-0027</x:v>
      </x:c>
      <x:c r="B28" s="14" t="str">
        <x:v>Hair</x:v>
      </x:c>
      <x:c r="C28" s="14" t="str">
        <x:v>Hair Essentials</x:v>
      </x:c>
      <x:c r="D28" s="14" t="str">
        <x:v>Hair Extension Blow Dry</x:v>
      </x:c>
      <x:c r="E28" s="14" t="str">
        <x:v>Standard</x:v>
      </x:c>
      <x:c r="F28" s="18" t="n">
        <x:v>30</x:v>
      </x:c>
      <x:c r="G28" s="17" t="n">
        <x:v>52.5</x:v>
      </x:c>
      <x:c r="H28" s="14" t="str">
        <x:v>per service</x:v>
      </x:c>
      <x:c r="I28" s="14" t="str">
        <x:v>Inclusive of 5% VAT</x:v>
      </x:c>
      <x:c r="J28" s="19" t="str">
        <x:v>https://bedashingbeauty.com/service/hair/</x:v>
      </x:c>
      <x:c r="K28" s="14" t="str">
        <x:v>2026-09-03</x:v>
      </x:c>
      <x:c r="L28" s="14" t="str">
        <x:v>Official Bedashing website</x:v>
      </x:c>
      <x:c r="M28" s="14" t="str">
        <x:v>OK</x:v>
      </x:c>
      <x:c r="N28" s="20" t="str"/>
    </x:row>
    <x:row r="29" ht="15" hidden="0" customHeight="1">
      <x:c r="A29" s="14" t="str">
        <x:v>SVC-0028</x:v>
      </x:c>
      <x:c r="B29" s="14" t="str">
        <x:v>Hair</x:v>
      </x:c>
      <x:c r="C29" s="14" t="str">
        <x:v>Hair Essentials</x:v>
      </x:c>
      <x:c r="D29" s="14" t="str">
        <x:v>Hair Extension Removal</x:v>
      </x:c>
      <x:c r="E29" s="14" t="str">
        <x:v>Standard</x:v>
      </x:c>
      <x:c r="F29" s="18" t="n">
        <x:v>15</x:v>
      </x:c>
      <x:c r="G29" s="17" t="n">
        <x:v>15.75</x:v>
      </x:c>
      <x:c r="H29" s="14" t="str">
        <x:v>per piece</x:v>
      </x:c>
      <x:c r="I29" s="14" t="str">
        <x:v>Inclusive of 5% VAT</x:v>
      </x:c>
      <x:c r="J29" s="19" t="str">
        <x:v>https://bedashingbeauty.com/service/hair/</x:v>
      </x:c>
      <x:c r="K29" s="14" t="str">
        <x:v>2026-09-03</x:v>
      </x:c>
      <x:c r="L29" s="14" t="str">
        <x:v>Official Bedashing website</x:v>
      </x:c>
      <x:c r="M29" s="14" t="str">
        <x:v>OK</x:v>
      </x:c>
      <x:c r="N29" s="20" t="str"/>
    </x:row>
    <x:row r="30" ht="15" hidden="0" customHeight="1">
      <x:c r="A30" s="14" t="str">
        <x:v>SVC-0029</x:v>
      </x:c>
      <x:c r="B30" s="14" t="str">
        <x:v>Hair</x:v>
      </x:c>
      <x:c r="C30" s="14" t="str">
        <x:v>Hair Essentials</x:v>
      </x:c>
      <x:c r="D30" s="14" t="str">
        <x:v>Hair Extension Application</x:v>
      </x:c>
      <x:c r="E30" s="14" t="str">
        <x:v>Standard</x:v>
      </x:c>
      <x:c r="F30" s="18" t="n">
        <x:v>10</x:v>
      </x:c>
      <x:c r="G30" s="17" t="n">
        <x:v>21</x:v>
      </x:c>
      <x:c r="H30" s="14" t="str">
        <x:v>per piece</x:v>
      </x:c>
      <x:c r="I30" s="14" t="str">
        <x:v>Inclusive of 5% VAT</x:v>
      </x:c>
      <x:c r="J30" s="19" t="str">
        <x:v>https://bedashingbeauty.com/service/hair/</x:v>
      </x:c>
      <x:c r="K30" s="14" t="str">
        <x:v>2026-09-03</x:v>
      </x:c>
      <x:c r="L30" s="14" t="str">
        <x:v>Official Bedashing website</x:v>
      </x:c>
      <x:c r="M30" s="14" t="str">
        <x:v>OK</x:v>
      </x:c>
      <x:c r="N30" s="20" t="str"/>
    </x:row>
    <x:row r="31" ht="15" hidden="0" customHeight="1">
      <x:c r="A31" s="14" t="str">
        <x:v>SVC-0030</x:v>
      </x:c>
      <x:c r="B31" s="14" t="str">
        <x:v>Hair</x:v>
      </x:c>
      <x:c r="C31" s="14" t="str">
        <x:v>Hair Essentials</x:v>
      </x:c>
      <x:c r="D31" s="14" t="str">
        <x:v>Wash+Cut &amp; Blowdry</x:v>
      </x:c>
      <x:c r="E31" s="14" t="str">
        <x:v>Standard</x:v>
      </x:c>
      <x:c r="F31" s="18" t="n">
        <x:v>45</x:v>
      </x:c>
      <x:c r="G31" s="17" t="n">
        <x:v>315</x:v>
      </x:c>
      <x:c r="H31" s="14" t="str">
        <x:v>per service</x:v>
      </x:c>
      <x:c r="I31" s="14" t="str">
        <x:v>Inclusive of 5% VAT</x:v>
      </x:c>
      <x:c r="J31" s="19" t="str">
        <x:v>https://bedashingbeauty.com/service/hair/</x:v>
      </x:c>
      <x:c r="K31" s="14" t="str">
        <x:v>2026-09-03</x:v>
      </x:c>
      <x:c r="L31" s="14" t="str">
        <x:v>Official Bedashing website</x:v>
      </x:c>
      <x:c r="M31" s="14" t="str">
        <x:v>OK</x:v>
      </x:c>
      <x:c r="N31" s="20" t="str"/>
    </x:row>
    <x:row r="32" ht="15" hidden="0" customHeight="1">
      <x:c r="A32" s="14" t="str">
        <x:v>SVC-0031</x:v>
      </x:c>
      <x:c r="B32" s="14" t="str">
        <x:v>Hair</x:v>
      </x:c>
      <x:c r="C32" s="14" t="str">
        <x:v>Hair Essentials</x:v>
      </x:c>
      <x:c r="D32" s="14" t="str">
        <x:v>Cut Trim</x:v>
      </x:c>
      <x:c r="E32" s="14" t="str">
        <x:v>Standard</x:v>
      </x:c>
      <x:c r="F32" s="18" t="n">
        <x:v>25</x:v>
      </x:c>
      <x:c r="G32" s="17" t="n">
        <x:v>90</x:v>
      </x:c>
      <x:c r="H32" s="14" t="str">
        <x:v>per service</x:v>
      </x:c>
      <x:c r="I32" s="14" t="str">
        <x:v>Inclusive of 5% VAT</x:v>
      </x:c>
      <x:c r="J32" s="19" t="str">
        <x:v>https://bedashingbeauty.com/service/hair/</x:v>
      </x:c>
      <x:c r="K32" s="14" t="str">
        <x:v>2026-09-03</x:v>
      </x:c>
      <x:c r="L32" s="14" t="str">
        <x:v>Official Bedashing website</x:v>
      </x:c>
      <x:c r="M32" s="14" t="str">
        <x:v>OK</x:v>
      </x:c>
      <x:c r="N32" s="20" t="str"/>
    </x:row>
    <x:row r="33" ht="15" hidden="0" customHeight="1">
      <x:c r="A33" s="14" t="str">
        <x:v>SVC-0032</x:v>
      </x:c>
      <x:c r="B33" s="14" t="str">
        <x:v>Hair</x:v>
      </x:c>
      <x:c r="C33" s="14" t="str">
        <x:v>Hair Essentials</x:v>
      </x:c>
      <x:c r="D33" s="14" t="str">
        <x:v>Cut Fringe</x:v>
      </x:c>
      <x:c r="E33" s="14" t="str">
        <x:v>Standard</x:v>
      </x:c>
      <x:c r="F33" s="18" t="n">
        <x:v>15</x:v>
      </x:c>
      <x:c r="G33" s="17" t="n">
        <x:v>52.5</x:v>
      </x:c>
      <x:c r="H33" s="14" t="str">
        <x:v>per service</x:v>
      </x:c>
      <x:c r="I33" s="14" t="str">
        <x:v>Inclusive of 5% VAT</x:v>
      </x:c>
      <x:c r="J33" s="19" t="str">
        <x:v>https://bedashingbeauty.com/service/hair/</x:v>
      </x:c>
      <x:c r="K33" s="14" t="str">
        <x:v>2026-09-03</x:v>
      </x:c>
      <x:c r="L33" s="14" t="str">
        <x:v>Official Bedashing website</x:v>
      </x:c>
      <x:c r="M33" s="14" t="str">
        <x:v>OK</x:v>
      </x:c>
      <x:c r="N33" s="20" t="str"/>
    </x:row>
    <x:row r="34" ht="15" hidden="0" customHeight="1">
      <x:c r="A34" s="14" t="str">
        <x:v>SVC-0033</x:v>
      </x:c>
      <x:c r="B34" s="14" t="str">
        <x:v>Hair</x:v>
      </x:c>
      <x:c r="C34" s="14" t="str">
        <x:v>Add-ons</x:v>
      </x:c>
      <x:c r="D34" s="14" t="str">
        <x:v>Fusio Scrub</x:v>
      </x:c>
      <x:c r="E34" s="14" t="str">
        <x:v>Standard</x:v>
      </x:c>
      <x:c r="F34" s="18" t="n">
        <x:v>20</x:v>
      </x:c>
      <x:c r="G34" s="17" t="n">
        <x:v>105</x:v>
      </x:c>
      <x:c r="H34" s="14" t="str">
        <x:v>add-on</x:v>
      </x:c>
      <x:c r="I34" s="14" t="str">
        <x:v>Inclusive of 5% VAT</x:v>
      </x:c>
      <x:c r="J34" s="19" t="str">
        <x:v>https://bedashingbeauty.com/service/hair/</x:v>
      </x:c>
      <x:c r="K34" s="14" t="str">
        <x:v>2026-09-03</x:v>
      </x:c>
      <x:c r="L34" s="14" t="str">
        <x:v>Official Bedashing website</x:v>
      </x:c>
      <x:c r="M34" s="14" t="str">
        <x:v>OK</x:v>
      </x:c>
      <x:c r="N34" s="20" t="str"/>
    </x:row>
    <x:row r="35" ht="15" hidden="0" customHeight="1">
      <x:c r="A35" s="14" t="str">
        <x:v>SVC-0034</x:v>
      </x:c>
      <x:c r="B35" s="14" t="str">
        <x:v>Hair</x:v>
      </x:c>
      <x:c r="C35" s="14" t="str">
        <x:v>Add-ons</x:v>
      </x:c>
      <x:c r="D35" s="14" t="str">
        <x:v>Alterna Scalp Care</x:v>
      </x:c>
      <x:c r="E35" s="14" t="str">
        <x:v>Standard</x:v>
      </x:c>
      <x:c r="F35" s="18" t="n">
        <x:v>15</x:v>
      </x:c>
      <x:c r="G35" s="17" t="n">
        <x:v>157.5</x:v>
      </x:c>
      <x:c r="H35" s="14" t="str">
        <x:v>add-on</x:v>
      </x:c>
      <x:c r="I35" s="14" t="str">
        <x:v>Inclusive of 5% VAT</x:v>
      </x:c>
      <x:c r="J35" s="19" t="str">
        <x:v>https://bedashingbeauty.com/service/hair/</x:v>
      </x:c>
      <x:c r="K35" s="14" t="str">
        <x:v>2026-09-03</x:v>
      </x:c>
      <x:c r="L35" s="14" t="str">
        <x:v>Official Bedashing website</x:v>
      </x:c>
      <x:c r="M35" s="14" t="str">
        <x:v>OK</x:v>
      </x:c>
      <x:c r="N35" s="20" t="str"/>
    </x:row>
    <x:row r="36" ht="15" hidden="0" customHeight="1">
      <x:c r="A36" s="14" t="str">
        <x:v>SVC-0035</x:v>
      </x:c>
      <x:c r="B36" s="14" t="str">
        <x:v>Hair</x:v>
      </x:c>
      <x:c r="C36" s="14" t="str">
        <x:v>Add-ons</x:v>
      </x:c>
      <x:c r="D36" s="14" t="str">
        <x:v>Aloe Vera Scalp Treatment</x:v>
      </x:c>
      <x:c r="E36" s="14" t="str">
        <x:v>Standard</x:v>
      </x:c>
      <x:c r="F36" s="18" t="n">
        <x:v>30</x:v>
      </x:c>
      <x:c r="G36" s="17" t="n">
        <x:v>105</x:v>
      </x:c>
      <x:c r="H36" s="14" t="str">
        <x:v>add-on</x:v>
      </x:c>
      <x:c r="I36" s="14" t="str">
        <x:v>Inclusive of 5% VAT</x:v>
      </x:c>
      <x:c r="J36" s="19" t="str">
        <x:v>https://bedashingbeauty.com/service/hair/</x:v>
      </x:c>
      <x:c r="K36" s="14" t="str">
        <x:v>2026-09-03</x:v>
      </x:c>
      <x:c r="L36" s="14" t="str">
        <x:v>Official Bedashing website</x:v>
      </x:c>
      <x:c r="M36" s="14" t="str">
        <x:v>OK</x:v>
      </x:c>
      <x:c r="N36" s="20" t="str"/>
    </x:row>
    <x:row r="37" ht="15" hidden="0" customHeight="1">
      <x:c r="A37" s="14" t="str">
        <x:v>SVC-0036</x:v>
      </x:c>
      <x:c r="B37" s="14" t="str">
        <x:v>Hair</x:v>
      </x:c>
      <x:c r="C37" s="14" t="str">
        <x:v>Add-ons</x:v>
      </x:c>
      <x:c r="D37" s="14" t="str">
        <x:v>Curling/Straightening</x:v>
      </x:c>
      <x:c r="E37" s="14" t="str">
        <x:v>Standard</x:v>
      </x:c>
      <x:c r="F37" s="18" t="n">
        <x:v>20</x:v>
      </x:c>
      <x:c r="G37" s="17" t="n">
        <x:v>52.5</x:v>
      </x:c>
      <x:c r="H37" s="14" t="str">
        <x:v>add-on</x:v>
      </x:c>
      <x:c r="I37" s="14" t="str">
        <x:v>Inclusive of 5% VAT</x:v>
      </x:c>
      <x:c r="J37" s="19" t="str">
        <x:v>https://bedashingbeauty.com/service/hair/</x:v>
      </x:c>
      <x:c r="K37" s="14" t="str">
        <x:v>2026-09-03</x:v>
      </x:c>
      <x:c r="L37" s="14" t="str">
        <x:v>Official Bedashing website</x:v>
      </x:c>
      <x:c r="M37" s="14" t="str">
        <x:v>OK</x:v>
      </x:c>
      <x:c r="N37" s="20" t="str"/>
    </x:row>
    <x:row r="38" ht="15" hidden="0" customHeight="1">
      <x:c r="A38" s="14" t="str">
        <x:v>SVC-0037</x:v>
      </x:c>
      <x:c r="B38" s="14" t="str">
        <x:v>Hair</x:v>
      </x:c>
      <x:c r="C38" s="14" t="str">
        <x:v>Add-ons</x:v>
      </x:c>
      <x:c r="D38" s="14" t="str">
        <x:v>Extra Long Hair</x:v>
      </x:c>
      <x:c r="E38" s="14" t="str">
        <x:v>Standard</x:v>
      </x:c>
      <x:c r="F38" s="18" t="n">
        <x:v>20</x:v>
      </x:c>
      <x:c r="G38" s="17" t="n">
        <x:v>31.5</x:v>
      </x:c>
      <x:c r="H38" s="14" t="str">
        <x:v>add-on</x:v>
      </x:c>
      <x:c r="I38" s="14" t="str">
        <x:v>Inclusive of 5% VAT</x:v>
      </x:c>
      <x:c r="J38" s="19" t="str">
        <x:v>https://bedashingbeauty.com/service/hair/</x:v>
      </x:c>
      <x:c r="K38" s="14" t="str">
        <x:v>2026-09-03</x:v>
      </x:c>
      <x:c r="L38" s="14" t="str">
        <x:v>Official Bedashing website</x:v>
      </x:c>
      <x:c r="M38" s="14" t="str">
        <x:v>OK</x:v>
      </x:c>
      <x:c r="N38" s="20" t="str"/>
    </x:row>
    <x:row r="39" ht="15" hidden="0" customHeight="1">
      <x:c r="A39" s="14" t="str">
        <x:v>SVC-0038</x:v>
      </x:c>
      <x:c r="B39" s="14" t="str">
        <x:v>Hair</x:v>
      </x:c>
      <x:c r="C39" s="14" t="str">
        <x:v>Add-ons</x:v>
      </x:c>
      <x:c r="D39" s="14" t="str">
        <x:v>Fusio-Dose</x:v>
      </x:c>
      <x:c r="E39" s="14" t="str">
        <x:v>Short</x:v>
      </x:c>
      <x:c r="F39" s="18" t="n">
        <x:v>15</x:v>
      </x:c>
      <x:c r="G39" s="17" t="n">
        <x:v>157.5</x:v>
      </x:c>
      <x:c r="H39" s="14" t="str">
        <x:v>add-on</x:v>
      </x:c>
      <x:c r="I39" s="14" t="str">
        <x:v>Inclusive of 5% VAT</x:v>
      </x:c>
      <x:c r="J39" s="19" t="str">
        <x:v>https://bedashingbeauty.com/service/hair/</x:v>
      </x:c>
      <x:c r="K39" s="14" t="str">
        <x:v>2026-09-03</x:v>
      </x:c>
      <x:c r="L39" s="14" t="str">
        <x:v>Official Bedashing website</x:v>
      </x:c>
      <x:c r="M39" s="14" t="str">
        <x:v>OK</x:v>
      </x:c>
      <x:c r="N39" s="20" t="str"/>
    </x:row>
    <x:row r="40" ht="15" hidden="0" customHeight="1">
      <x:c r="A40" s="14" t="str">
        <x:v>SVC-0039</x:v>
      </x:c>
      <x:c r="B40" s="14" t="str">
        <x:v>Hair</x:v>
      </x:c>
      <x:c r="C40" s="14" t="str">
        <x:v>Add-ons</x:v>
      </x:c>
      <x:c r="D40" s="14" t="str">
        <x:v>Fusio-Dose</x:v>
      </x:c>
      <x:c r="E40" s="14" t="str">
        <x:v>Medium</x:v>
      </x:c>
      <x:c r="F40" s="18" t="n">
        <x:v>20</x:v>
      </x:c>
      <x:c r="G40" s="17" t="n">
        <x:v>178.5</x:v>
      </x:c>
      <x:c r="H40" s="14" t="str">
        <x:v>add-on</x:v>
      </x:c>
      <x:c r="I40" s="14" t="str">
        <x:v>Inclusive of 5% VAT</x:v>
      </x:c>
      <x:c r="J40" s="19" t="str">
        <x:v>https://bedashingbeauty.com/service/hair/</x:v>
      </x:c>
      <x:c r="K40" s="14" t="str">
        <x:v>2026-09-03</x:v>
      </x:c>
      <x:c r="L40" s="14" t="str">
        <x:v>Official Bedashing website</x:v>
      </x:c>
      <x:c r="M40" s="14" t="str">
        <x:v>OK</x:v>
      </x:c>
      <x:c r="N40" s="20" t="str"/>
    </x:row>
    <x:row r="41" ht="15" hidden="0" customHeight="1">
      <x:c r="A41" s="14" t="str">
        <x:v>SVC-0040</x:v>
      </x:c>
      <x:c r="B41" s="14" t="str">
        <x:v>Hair</x:v>
      </x:c>
      <x:c r="C41" s="14" t="str">
        <x:v>Add-ons</x:v>
      </x:c>
      <x:c r="D41" s="14" t="str">
        <x:v>Fusio-Dose</x:v>
      </x:c>
      <x:c r="E41" s="14" t="str">
        <x:v>Long</x:v>
      </x:c>
      <x:c r="F41" s="18" t="n">
        <x:v>20</x:v>
      </x:c>
      <x:c r="G41" s="17" t="n">
        <x:v>204.75</x:v>
      </x:c>
      <x:c r="H41" s="14" t="str">
        <x:v>add-on</x:v>
      </x:c>
      <x:c r="I41" s="14" t="str">
        <x:v>Inclusive of 5% VAT</x:v>
      </x:c>
      <x:c r="J41" s="19" t="str">
        <x:v>https://bedashingbeauty.com/service/hair/</x:v>
      </x:c>
      <x:c r="K41" s="14" t="str">
        <x:v>2026-09-03</x:v>
      </x:c>
      <x:c r="L41" s="14" t="str">
        <x:v>Official Bedashing website</x:v>
      </x:c>
      <x:c r="M41" s="14" t="str">
        <x:v>OK</x:v>
      </x:c>
      <x:c r="N41" s="20" t="str"/>
    </x:row>
    <x:row r="42" ht="15" hidden="0" customHeight="1">
      <x:c r="A42" s="14" t="str">
        <x:v>SVC-0041</x:v>
      </x:c>
      <x:c r="B42" s="14" t="str">
        <x:v>Hair</x:v>
      </x:c>
      <x:c r="C42" s="14" t="str">
        <x:v>Add-ons</x:v>
      </x:c>
      <x:c r="D42" s="14" t="str">
        <x:v>Hair Mask</x:v>
      </x:c>
      <x:c r="E42" s="14" t="str">
        <x:v>Short</x:v>
      </x:c>
      <x:c r="F42" s="18" t="n">
        <x:v>15</x:v>
      </x:c>
      <x:c r="G42" s="17" t="n">
        <x:v>105</x:v>
      </x:c>
      <x:c r="H42" s="14" t="str">
        <x:v>add-on</x:v>
      </x:c>
      <x:c r="I42" s="14" t="str">
        <x:v>Inclusive of 5% VAT</x:v>
      </x:c>
      <x:c r="J42" s="19" t="str">
        <x:v>https://bedashingbeauty.com/service/hair/</x:v>
      </x:c>
      <x:c r="K42" s="14" t="str">
        <x:v>2026-09-03</x:v>
      </x:c>
      <x:c r="L42" s="14" t="str">
        <x:v>Official Bedashing website</x:v>
      </x:c>
      <x:c r="M42" s="14" t="str">
        <x:v>OK</x:v>
      </x:c>
      <x:c r="N42" s="20" t="str"/>
    </x:row>
    <x:row r="43" ht="15" hidden="0" customHeight="1">
      <x:c r="A43" s="14" t="str">
        <x:v>SVC-0042</x:v>
      </x:c>
      <x:c r="B43" s="14" t="str">
        <x:v>Hair</x:v>
      </x:c>
      <x:c r="C43" s="14" t="str">
        <x:v>Add-ons</x:v>
      </x:c>
      <x:c r="D43" s="14" t="str">
        <x:v>Hair Mask</x:v>
      </x:c>
      <x:c r="E43" s="14" t="str">
        <x:v>Medium</x:v>
      </x:c>
      <x:c r="F43" s="18" t="n">
        <x:v>20</x:v>
      </x:c>
      <x:c r="G43" s="17" t="n">
        <x:v>120.75</x:v>
      </x:c>
      <x:c r="H43" s="14" t="str">
        <x:v>add-on</x:v>
      </x:c>
      <x:c r="I43" s="14" t="str">
        <x:v>Inclusive of 5% VAT</x:v>
      </x:c>
      <x:c r="J43" s="19" t="str">
        <x:v>https://bedashingbeauty.com/service/hair/</x:v>
      </x:c>
      <x:c r="K43" s="14" t="str">
        <x:v>2026-09-03</x:v>
      </x:c>
      <x:c r="L43" s="14" t="str">
        <x:v>Official Bedashing website</x:v>
      </x:c>
      <x:c r="M43" s="14" t="str">
        <x:v>OK</x:v>
      </x:c>
      <x:c r="N43" s="20" t="str"/>
    </x:row>
    <x:row r="44" ht="15" hidden="0" customHeight="1">
      <x:c r="A44" s="14" t="str">
        <x:v>SVC-0043</x:v>
      </x:c>
      <x:c r="B44" s="14" t="str">
        <x:v>Hair</x:v>
      </x:c>
      <x:c r="C44" s="14" t="str">
        <x:v>Add-ons</x:v>
      </x:c>
      <x:c r="D44" s="14" t="str">
        <x:v>Hair Mask</x:v>
      </x:c>
      <x:c r="E44" s="14" t="str">
        <x:v>Long</x:v>
      </x:c>
      <x:c r="F44" s="18" t="n">
        <x:v>20</x:v>
      </x:c>
      <x:c r="G44" s="17" t="n">
        <x:v>136.5</x:v>
      </x:c>
      <x:c r="H44" s="14" t="str">
        <x:v>add-on</x:v>
      </x:c>
      <x:c r="I44" s="14" t="str">
        <x:v>Inclusive of 5% VAT</x:v>
      </x:c>
      <x:c r="J44" s="19" t="str">
        <x:v>https://bedashingbeauty.com/service/hair/</x:v>
      </x:c>
      <x:c r="K44" s="14" t="str">
        <x:v>2026-09-03</x:v>
      </x:c>
      <x:c r="L44" s="14" t="str">
        <x:v>Official Bedashing website</x:v>
      </x:c>
      <x:c r="M44" s="14" t="str">
        <x:v>OK</x:v>
      </x:c>
      <x:c r="N44" s="20" t="str"/>
    </x:row>
    <x:row r="45" ht="15" hidden="0" customHeight="1">
      <x:c r="A45" s="14" t="str">
        <x:v>SVC-0044</x:v>
      </x:c>
      <x:c r="B45" s="14" t="str">
        <x:v>Hair</x:v>
      </x:c>
      <x:c r="C45" s="14" t="str">
        <x:v>Hair Treatments</x:v>
      </x:c>
      <x:c r="D45" s="14" t="str">
        <x:v>Specifique - Hair Loss</x:v>
      </x:c>
      <x:c r="E45" s="14" t="str">
        <x:v>Standard</x:v>
      </x:c>
      <x:c r="F45" s="18" t="n">
        <x:v>30</x:v>
      </x:c>
      <x:c r="G45" s="17" t="n">
        <x:v>262.5</x:v>
      </x:c>
      <x:c r="H45" s="14" t="str">
        <x:v>per service</x:v>
      </x:c>
      <x:c r="I45" s="14" t="str">
        <x:v>Inclusive of 5% VAT</x:v>
      </x:c>
      <x:c r="J45" s="19" t="str">
        <x:v>https://bedashingbeauty.com/service/hair/</x:v>
      </x:c>
      <x:c r="K45" s="14" t="str">
        <x:v>2026-09-03</x:v>
      </x:c>
      <x:c r="L45" s="14" t="str">
        <x:v>Official Bedashing website</x:v>
      </x:c>
      <x:c r="M45" s="14" t="str">
        <x:v>OK</x:v>
      </x:c>
      <x:c r="N45" s="20" t="str"/>
    </x:row>
    <x:row r="46" ht="15" hidden="0" customHeight="1">
      <x:c r="A46" s="14" t="str">
        <x:v>SVC-0045</x:v>
      </x:c>
      <x:c r="B46" s="14" t="str">
        <x:v>Hair</x:v>
      </x:c>
      <x:c r="C46" s="14" t="str">
        <x:v>Hair Treatments</x:v>
      </x:c>
      <x:c r="D46" s="14" t="str">
        <x:v>Specifique - Sensitive Scalp</x:v>
      </x:c>
      <x:c r="E46" s="14" t="str">
        <x:v>Standard</x:v>
      </x:c>
      <x:c r="F46" s="18" t="n">
        <x:v>30</x:v>
      </x:c>
      <x:c r="G46" s="17" t="n">
        <x:v>262.5</x:v>
      </x:c>
      <x:c r="H46" s="14" t="str">
        <x:v>per service</x:v>
      </x:c>
      <x:c r="I46" s="14" t="str">
        <x:v>Inclusive of 5% VAT</x:v>
      </x:c>
      <x:c r="J46" s="19" t="str">
        <x:v>https://bedashingbeauty.com/service/hair/</x:v>
      </x:c>
      <x:c r="K46" s="14" t="str">
        <x:v>2026-09-03</x:v>
      </x:c>
      <x:c r="L46" s="14" t="str">
        <x:v>Official Bedashing website</x:v>
      </x:c>
      <x:c r="M46" s="14" t="str">
        <x:v>OK</x:v>
      </x:c>
      <x:c r="N46" s="20" t="str"/>
    </x:row>
    <x:row r="47" ht="15" hidden="0" customHeight="1">
      <x:c r="A47" s="14" t="str">
        <x:v>SVC-0046</x:v>
      </x:c>
      <x:c r="B47" s="14" t="str">
        <x:v>Hair</x:v>
      </x:c>
      <x:c r="C47" s="14" t="str">
        <x:v>Hair Treatments</x:v>
      </x:c>
      <x:c r="D47" s="14" t="str">
        <x:v>Specifique - Dandruff</x:v>
      </x:c>
      <x:c r="E47" s="14" t="str">
        <x:v>Standard</x:v>
      </x:c>
      <x:c r="F47" s="18" t="n">
        <x:v>30</x:v>
      </x:c>
      <x:c r="G47" s="17" t="n">
        <x:v>262.5</x:v>
      </x:c>
      <x:c r="H47" s="14" t="str">
        <x:v>per service</x:v>
      </x:c>
      <x:c r="I47" s="14" t="str">
        <x:v>Inclusive of 5% VAT</x:v>
      </x:c>
      <x:c r="J47" s="19" t="str">
        <x:v>https://bedashingbeauty.com/service/hair/</x:v>
      </x:c>
      <x:c r="K47" s="14" t="str">
        <x:v>2026-09-03</x:v>
      </x:c>
      <x:c r="L47" s="14" t="str">
        <x:v>Official Bedashing website</x:v>
      </x:c>
      <x:c r="M47" s="14" t="str">
        <x:v>OK</x:v>
      </x:c>
      <x:c r="N47" s="20" t="str"/>
    </x:row>
    <x:row r="48" ht="15" hidden="0" customHeight="1">
      <x:c r="A48" s="14" t="str">
        <x:v>SVC-0047</x:v>
      </x:c>
      <x:c r="B48" s="14" t="str">
        <x:v>Hair</x:v>
      </x:c>
      <x:c r="C48" s="14" t="str">
        <x:v>Hair Treatments</x:v>
      </x:c>
      <x:c r="D48" s="14" t="str">
        <x:v>Divalent Scalp Purification</x:v>
      </x:c>
      <x:c r="E48" s="14" t="str">
        <x:v>Standard</x:v>
      </x:c>
      <x:c r="F48" s="18" t="n">
        <x:v>30</x:v>
      </x:c>
      <x:c r="G48" s="17" t="n">
        <x:v>262.5</x:v>
      </x:c>
      <x:c r="H48" s="14" t="str">
        <x:v>per service</x:v>
      </x:c>
      <x:c r="I48" s="14" t="str">
        <x:v>Inclusive of 5% VAT</x:v>
      </x:c>
      <x:c r="J48" s="19" t="str">
        <x:v>https://bedashingbeauty.com/service/hair/</x:v>
      </x:c>
      <x:c r="K48" s="14" t="str">
        <x:v>2026-09-03</x:v>
      </x:c>
      <x:c r="L48" s="14" t="str">
        <x:v>Official Bedashing website</x:v>
      </x:c>
      <x:c r="M48" s="14" t="str">
        <x:v>OK</x:v>
      </x:c>
      <x:c r="N48" s="20" t="str"/>
    </x:row>
    <x:row r="49" ht="15" hidden="0" customHeight="1">
      <x:c r="A49" s="14" t="str">
        <x:v>SVC-0048</x:v>
      </x:c>
      <x:c r="B49" s="14" t="str">
        <x:v>Hair</x:v>
      </x:c>
      <x:c r="C49" s="14" t="str">
        <x:v>Hair Treatments</x:v>
      </x:c>
      <x:c r="D49" s="14" t="str">
        <x:v>Symbiose Scalp Treatment</x:v>
      </x:c>
      <x:c r="E49" s="14" t="str">
        <x:v>Standard</x:v>
      </x:c>
      <x:c r="F49" s="18" t="n">
        <x:v>30</x:v>
      </x:c>
      <x:c r="G49" s="17" t="n">
        <x:v>262.5</x:v>
      </x:c>
      <x:c r="H49" s="14" t="str">
        <x:v>per service</x:v>
      </x:c>
      <x:c r="I49" s="14" t="str">
        <x:v>Inclusive of 5% VAT</x:v>
      </x:c>
      <x:c r="J49" s="19" t="str">
        <x:v>https://bedashingbeauty.com/service/hair/</x:v>
      </x:c>
      <x:c r="K49" s="14" t="str">
        <x:v>2026-09-03</x:v>
      </x:c>
      <x:c r="L49" s="14" t="str">
        <x:v>Official Bedashing website</x:v>
      </x:c>
      <x:c r="M49" s="14" t="str">
        <x:v>OK</x:v>
      </x:c>
      <x:c r="N49" s="20" t="str"/>
    </x:row>
    <x:row r="50" ht="15" hidden="0" customHeight="1">
      <x:c r="A50" s="14" t="str">
        <x:v>SVC-0049</x:v>
      </x:c>
      <x:c r="B50" s="14" t="str">
        <x:v>Hair</x:v>
      </x:c>
      <x:c r="C50" s="14" t="str">
        <x:v>Hair Treatments</x:v>
      </x:c>
      <x:c r="D50" s="14" t="str">
        <x:v>Curly Hair Treatment</x:v>
      </x:c>
      <x:c r="E50" s="14" t="str">
        <x:v>Standard</x:v>
      </x:c>
      <x:c r="F50" s="18" t="n">
        <x:v>30</x:v>
      </x:c>
      <x:c r="G50" s="17" t="n">
        <x:v>367.5</x:v>
      </x:c>
      <x:c r="H50" s="14" t="str">
        <x:v>per service</x:v>
      </x:c>
      <x:c r="I50" s="14" t="str">
        <x:v>Inclusive of 5% VAT</x:v>
      </x:c>
      <x:c r="J50" s="19" t="str">
        <x:v>https://bedashingbeauty.com/service/hair/</x:v>
      </x:c>
      <x:c r="K50" s="14" t="str">
        <x:v>2026-09-03</x:v>
      </x:c>
      <x:c r="L50" s="14" t="str">
        <x:v>Official Bedashing website</x:v>
      </x:c>
      <x:c r="M50" s="14" t="str">
        <x:v>OK</x:v>
      </x:c>
      <x:c r="N50" s="20" t="str"/>
    </x:row>
    <x:row r="51" ht="15" hidden="0" customHeight="1">
      <x:c r="A51" s="14" t="str">
        <x:v>SVC-0050</x:v>
      </x:c>
      <x:c r="B51" s="14" t="str">
        <x:v>Hair</x:v>
      </x:c>
      <x:c r="C51" s="14" t="str">
        <x:v>Hair Treatments</x:v>
      </x:c>
      <x:c r="D51" s="14" t="str">
        <x:v>K18 Molecular Repair-Any Length</x:v>
      </x:c>
      <x:c r="E51" s="14" t="str">
        <x:v>Standard</x:v>
      </x:c>
      <x:c r="F51" s="18" t="n">
        <x:v>30</x:v>
      </x:c>
      <x:c r="G51" s="17" t="n">
        <x:v>210</x:v>
      </x:c>
      <x:c r="H51" s="14" t="str">
        <x:v>per service</x:v>
      </x:c>
      <x:c r="I51" s="14" t="str">
        <x:v>Inclusive of 5% VAT</x:v>
      </x:c>
      <x:c r="J51" s="19" t="str">
        <x:v>https://bedashingbeauty.com/service/hair/</x:v>
      </x:c>
      <x:c r="K51" s="14" t="str">
        <x:v>2026-09-03</x:v>
      </x:c>
      <x:c r="L51" s="14" t="str">
        <x:v>Official Bedashing website</x:v>
      </x:c>
      <x:c r="M51" s="14" t="str">
        <x:v>OK</x:v>
      </x:c>
      <x:c r="N51" s="20" t="str"/>
    </x:row>
    <x:row r="52" ht="15" hidden="0" customHeight="1">
      <x:c r="A52" s="14" t="str">
        <x:v>SVC-0051</x:v>
      </x:c>
      <x:c r="B52" s="14" t="str">
        <x:v>Hair</x:v>
      </x:c>
      <x:c r="C52" s="14" t="str">
        <x:v>Hair Treatments</x:v>
      </x:c>
      <x:c r="D52" s="14" t="str">
        <x:v>Olaplex Hair Treatment</x:v>
      </x:c>
      <x:c r="E52" s="14" t="str">
        <x:v>Short</x:v>
      </x:c>
      <x:c r="F52" s="18" t="n">
        <x:v>30</x:v>
      </x:c>
      <x:c r="G52" s="17" t="n">
        <x:v>262.5</x:v>
      </x:c>
      <x:c r="H52" s="14" t="str">
        <x:v>per service</x:v>
      </x:c>
      <x:c r="I52" s="14" t="str">
        <x:v>Inclusive of 5% VAT</x:v>
      </x:c>
      <x:c r="J52" s="19" t="str">
        <x:v>https://bedashingbeauty.com/service/hair/</x:v>
      </x:c>
      <x:c r="K52" s="14" t="str">
        <x:v>2026-09-03</x:v>
      </x:c>
      <x:c r="L52" s="14" t="str">
        <x:v>Official Bedashing website</x:v>
      </x:c>
      <x:c r="M52" s="14" t="str">
        <x:v>OK</x:v>
      </x:c>
      <x:c r="N52" s="20" t="str"/>
    </x:row>
    <x:row r="53" ht="15" hidden="0" customHeight="1">
      <x:c r="A53" s="14" t="str">
        <x:v>SVC-0052</x:v>
      </x:c>
      <x:c r="B53" s="14" t="str">
        <x:v>Hair</x:v>
      </x:c>
      <x:c r="C53" s="14" t="str">
        <x:v>Hair Treatments</x:v>
      </x:c>
      <x:c r="D53" s="14" t="str">
        <x:v>Olaplex Hair Treatment</x:v>
      </x:c>
      <x:c r="E53" s="14" t="str">
        <x:v>Medium</x:v>
      </x:c>
      <x:c r="F53" s="18" t="n">
        <x:v>35</x:v>
      </x:c>
      <x:c r="G53" s="17" t="n">
        <x:v>304.5</x:v>
      </x:c>
      <x:c r="H53" s="14" t="str">
        <x:v>per service</x:v>
      </x:c>
      <x:c r="I53" s="14" t="str">
        <x:v>Inclusive of 5% VAT</x:v>
      </x:c>
      <x:c r="J53" s="19" t="str">
        <x:v>https://bedashingbeauty.com/service/hair/</x:v>
      </x:c>
      <x:c r="K53" s="14" t="str">
        <x:v>2026-09-03</x:v>
      </x:c>
      <x:c r="L53" s="14" t="str">
        <x:v>Official Bedashing website</x:v>
      </x:c>
      <x:c r="M53" s="14" t="str">
        <x:v>OK</x:v>
      </x:c>
      <x:c r="N53" s="20" t="str"/>
    </x:row>
    <x:row r="54" ht="15" hidden="0" customHeight="1">
      <x:c r="A54" s="14" t="str">
        <x:v>SVC-0053</x:v>
      </x:c>
      <x:c r="B54" s="14" t="str">
        <x:v>Hair</x:v>
      </x:c>
      <x:c r="C54" s="14" t="str">
        <x:v>Hair Treatments</x:v>
      </x:c>
      <x:c r="D54" s="14" t="str">
        <x:v>Olaplex Hair Treatment</x:v>
      </x:c>
      <x:c r="E54" s="14" t="str">
        <x:v>Long</x:v>
      </x:c>
      <x:c r="F54" s="18" t="n">
        <x:v>40</x:v>
      </x:c>
      <x:c r="G54" s="17" t="n">
        <x:v>346.5</x:v>
      </x:c>
      <x:c r="H54" s="14" t="str">
        <x:v>per service</x:v>
      </x:c>
      <x:c r="I54" s="14" t="str">
        <x:v>Inclusive of 5% VAT</x:v>
      </x:c>
      <x:c r="J54" s="19" t="str">
        <x:v>https://bedashingbeauty.com/service/hair/</x:v>
      </x:c>
      <x:c r="K54" s="14" t="str">
        <x:v>2026-09-03</x:v>
      </x:c>
      <x:c r="L54" s="14" t="str">
        <x:v>Official Bedashing website</x:v>
      </x:c>
      <x:c r="M54" s="14" t="str">
        <x:v>OK</x:v>
      </x:c>
      <x:c r="N54" s="20" t="str"/>
    </x:row>
    <x:row r="55" ht="15" hidden="0" customHeight="1">
      <x:c r="A55" s="14" t="str">
        <x:v>SVC-0054</x:v>
      </x:c>
      <x:c r="B55" s="14" t="str">
        <x:v>Hair</x:v>
      </x:c>
      <x:c r="C55" s="14" t="str">
        <x:v>Hair Treatments</x:v>
      </x:c>
      <x:c r="D55" s="14" t="str">
        <x:v>Genesis Ritual</x:v>
      </x:c>
      <x:c r="E55" s="14" t="str">
        <x:v>Short</x:v>
      </x:c>
      <x:c r="F55" s="18" t="n">
        <x:v>30</x:v>
      </x:c>
      <x:c r="G55" s="17" t="n">
        <x:v>315</x:v>
      </x:c>
      <x:c r="H55" s="14" t="str">
        <x:v>per service</x:v>
      </x:c>
      <x:c r="I55" s="14" t="str">
        <x:v>Inclusive of 5% VAT</x:v>
      </x:c>
      <x:c r="J55" s="19" t="str">
        <x:v>https://bedashingbeauty.com/service/hair/</x:v>
      </x:c>
      <x:c r="K55" s="14" t="str">
        <x:v>2026-09-03</x:v>
      </x:c>
      <x:c r="L55" s="14" t="str">
        <x:v>Official Bedashing website</x:v>
      </x:c>
      <x:c r="M55" s="14" t="str">
        <x:v>OK</x:v>
      </x:c>
      <x:c r="N55" s="20" t="str"/>
    </x:row>
    <x:row r="56" ht="15" hidden="0" customHeight="1">
      <x:c r="A56" s="14" t="str">
        <x:v>SVC-0055</x:v>
      </x:c>
      <x:c r="B56" s="14" t="str">
        <x:v>Hair</x:v>
      </x:c>
      <x:c r="C56" s="14" t="str">
        <x:v>Hair Treatments</x:v>
      </x:c>
      <x:c r="D56" s="14" t="str">
        <x:v>Genesis Ritual</x:v>
      </x:c>
      <x:c r="E56" s="14" t="str">
        <x:v>Medium</x:v>
      </x:c>
      <x:c r="F56" s="18" t="n">
        <x:v>35</x:v>
      </x:c>
      <x:c r="G56" s="17" t="n">
        <x:v>362.25</x:v>
      </x:c>
      <x:c r="H56" s="14" t="str">
        <x:v>per service</x:v>
      </x:c>
      <x:c r="I56" s="14" t="str">
        <x:v>Inclusive of 5% VAT</x:v>
      </x:c>
      <x:c r="J56" s="19" t="str">
        <x:v>https://bedashingbeauty.com/service/hair/</x:v>
      </x:c>
      <x:c r="K56" s="14" t="str">
        <x:v>2026-09-03</x:v>
      </x:c>
      <x:c r="L56" s="14" t="str">
        <x:v>Official Bedashing website</x:v>
      </x:c>
      <x:c r="M56" s="14" t="str">
        <x:v>OK</x:v>
      </x:c>
      <x:c r="N56" s="20" t="str"/>
    </x:row>
    <x:row r="57" ht="15" hidden="0" customHeight="1">
      <x:c r="A57" s="14" t="str">
        <x:v>SVC-0056</x:v>
      </x:c>
      <x:c r="B57" s="14" t="str">
        <x:v>Hair</x:v>
      </x:c>
      <x:c r="C57" s="14" t="str">
        <x:v>Hair Treatments</x:v>
      </x:c>
      <x:c r="D57" s="14" t="str">
        <x:v>Genesis Ritual</x:v>
      </x:c>
      <x:c r="E57" s="14" t="str">
        <x:v>Long</x:v>
      </x:c>
      <x:c r="F57" s="18" t="n">
        <x:v>40</x:v>
      </x:c>
      <x:c r="G57" s="17" t="n">
        <x:v>420</x:v>
      </x:c>
      <x:c r="H57" s="14" t="str">
        <x:v>per service</x:v>
      </x:c>
      <x:c r="I57" s="14" t="str">
        <x:v>Inclusive of 5% VAT</x:v>
      </x:c>
      <x:c r="J57" s="19" t="str">
        <x:v>https://bedashingbeauty.com/service/hair/</x:v>
      </x:c>
      <x:c r="K57" s="14" t="str">
        <x:v>2026-09-03</x:v>
      </x:c>
      <x:c r="L57" s="14" t="str">
        <x:v>Official Bedashing website</x:v>
      </x:c>
      <x:c r="M57" s="14" t="str">
        <x:v>OK</x:v>
      </x:c>
      <x:c r="N57" s="20" t="str"/>
    </x:row>
    <x:row r="58" ht="15" hidden="0" customHeight="1">
      <x:c r="A58" s="14" t="str">
        <x:v>SVC-0057</x:v>
      </x:c>
      <x:c r="B58" s="14" t="str">
        <x:v>Hair</x:v>
      </x:c>
      <x:c r="C58" s="14" t="str">
        <x:v>Hair Treatments</x:v>
      </x:c>
      <x:c r="D58" s="14" t="str">
        <x:v>Chronologist Caviar Plus</x:v>
      </x:c>
      <x:c r="E58" s="14" t="str">
        <x:v>Short</x:v>
      </x:c>
      <x:c r="F58" s="18" t="n">
        <x:v>30</x:v>
      </x:c>
      <x:c r="G58" s="17" t="n">
        <x:v>393.75</x:v>
      </x:c>
      <x:c r="H58" s="14" t="str">
        <x:v>per service</x:v>
      </x:c>
      <x:c r="I58" s="14" t="str">
        <x:v>Inclusive of 5% VAT</x:v>
      </x:c>
      <x:c r="J58" s="19" t="str">
        <x:v>https://bedashingbeauty.com/service/hair/</x:v>
      </x:c>
      <x:c r="K58" s="14" t="str">
        <x:v>2026-09-03</x:v>
      </x:c>
      <x:c r="L58" s="14" t="str">
        <x:v>Official Bedashing website</x:v>
      </x:c>
      <x:c r="M58" s="14" t="str">
        <x:v>OK</x:v>
      </x:c>
      <x:c r="N58" s="20" t="str"/>
    </x:row>
    <x:row r="59" ht="15" hidden="0" customHeight="1">
      <x:c r="A59" s="14" t="str">
        <x:v>SVC-0058</x:v>
      </x:c>
      <x:c r="B59" s="14" t="str">
        <x:v>Hair</x:v>
      </x:c>
      <x:c r="C59" s="14" t="str">
        <x:v>Hair Treatments</x:v>
      </x:c>
      <x:c r="D59" s="14" t="str">
        <x:v>Chronologist Caviar Plus</x:v>
      </x:c>
      <x:c r="E59" s="14" t="str">
        <x:v>Medium</x:v>
      </x:c>
      <x:c r="F59" s="18" t="n">
        <x:v>35</x:v>
      </x:c>
      <x:c r="G59" s="17" t="n">
        <x:v>451.5</x:v>
      </x:c>
      <x:c r="H59" s="14" t="str">
        <x:v>per service</x:v>
      </x:c>
      <x:c r="I59" s="14" t="str">
        <x:v>Inclusive of 5% VAT</x:v>
      </x:c>
      <x:c r="J59" s="19" t="str">
        <x:v>https://bedashingbeauty.com/service/hair/</x:v>
      </x:c>
      <x:c r="K59" s="14" t="str">
        <x:v>2026-09-03</x:v>
      </x:c>
      <x:c r="L59" s="14" t="str">
        <x:v>Official Bedashing website</x:v>
      </x:c>
      <x:c r="M59" s="14" t="str">
        <x:v>OK</x:v>
      </x:c>
      <x:c r="N59" s="20" t="str"/>
    </x:row>
    <x:row r="60" ht="15" hidden="0" customHeight="1">
      <x:c r="A60" s="14" t="str">
        <x:v>SVC-0059</x:v>
      </x:c>
      <x:c r="B60" s="14" t="str">
        <x:v>Hair</x:v>
      </x:c>
      <x:c r="C60" s="14" t="str">
        <x:v>Hair Treatments</x:v>
      </x:c>
      <x:c r="D60" s="14" t="str">
        <x:v>Chronologist Caviar Plus</x:v>
      </x:c>
      <x:c r="E60" s="14" t="str">
        <x:v>Long</x:v>
      </x:c>
      <x:c r="F60" s="18" t="n">
        <x:v>40</x:v>
      </x:c>
      <x:c r="G60" s="17" t="n">
        <x:v>514.5</x:v>
      </x:c>
      <x:c r="H60" s="14" t="str">
        <x:v>per service</x:v>
      </x:c>
      <x:c r="I60" s="14" t="str">
        <x:v>Inclusive of 5% VAT</x:v>
      </x:c>
      <x:c r="J60" s="19" t="str">
        <x:v>https://bedashingbeauty.com/service/hair/</x:v>
      </x:c>
      <x:c r="K60" s="14" t="str">
        <x:v>2026-09-03</x:v>
      </x:c>
      <x:c r="L60" s="14" t="str">
        <x:v>Official Bedashing website</x:v>
      </x:c>
      <x:c r="M60" s="14" t="str">
        <x:v>OK</x:v>
      </x:c>
      <x:c r="N60" s="20" t="str"/>
    </x:row>
    <x:row r="61" ht="15" hidden="0" customHeight="1">
      <x:c r="A61" s="14" t="str">
        <x:v>SVC-0060</x:v>
      </x:c>
      <x:c r="B61" s="14" t="str">
        <x:v>Hair</x:v>
      </x:c>
      <x:c r="C61" s="14" t="str">
        <x:v>Hair Treatments</x:v>
      </x:c>
      <x:c r="D61" s="14" t="str">
        <x:v>Fusio Scrub Ritual</x:v>
      </x:c>
      <x:c r="E61" s="14" t="str">
        <x:v>Short</x:v>
      </x:c>
      <x:c r="F61" s="18" t="n">
        <x:v>30</x:v>
      </x:c>
      <x:c r="G61" s="17" t="n">
        <x:v>315</x:v>
      </x:c>
      <x:c r="H61" s="14" t="str">
        <x:v>per service</x:v>
      </x:c>
      <x:c r="I61" s="14" t="str">
        <x:v>Inclusive of 5% VAT</x:v>
      </x:c>
      <x:c r="J61" s="19" t="str">
        <x:v>https://bedashingbeauty.com/service/hair/</x:v>
      </x:c>
      <x:c r="K61" s="14" t="str">
        <x:v>2026-09-03</x:v>
      </x:c>
      <x:c r="L61" s="14" t="str">
        <x:v>Official Bedashing website</x:v>
      </x:c>
      <x:c r="M61" s="14" t="str">
        <x:v>OK</x:v>
      </x:c>
      <x:c r="N61" s="20" t="str"/>
    </x:row>
    <x:row r="62" ht="15" hidden="0" customHeight="1">
      <x:c r="A62" s="14" t="str">
        <x:v>SVC-0061</x:v>
      </x:c>
      <x:c r="B62" s="14" t="str">
        <x:v>Hair</x:v>
      </x:c>
      <x:c r="C62" s="14" t="str">
        <x:v>Hair Treatments</x:v>
      </x:c>
      <x:c r="D62" s="14" t="str">
        <x:v>Fusio Scrub Ritual</x:v>
      </x:c>
      <x:c r="E62" s="14" t="str">
        <x:v>Medium</x:v>
      </x:c>
      <x:c r="F62" s="18" t="n">
        <x:v>35</x:v>
      </x:c>
      <x:c r="G62" s="17" t="n">
        <x:v>362.25</x:v>
      </x:c>
      <x:c r="H62" s="14" t="str">
        <x:v>per service</x:v>
      </x:c>
      <x:c r="I62" s="14" t="str">
        <x:v>Inclusive of 5% VAT</x:v>
      </x:c>
      <x:c r="J62" s="19" t="str">
        <x:v>https://bedashingbeauty.com/service/hair/</x:v>
      </x:c>
      <x:c r="K62" s="14" t="str">
        <x:v>2026-09-03</x:v>
      </x:c>
      <x:c r="L62" s="14" t="str">
        <x:v>Official Bedashing website</x:v>
      </x:c>
      <x:c r="M62" s="14" t="str">
        <x:v>OK</x:v>
      </x:c>
      <x:c r="N62" s="20" t="str"/>
    </x:row>
    <x:row r="63" ht="15" hidden="0" customHeight="1">
      <x:c r="A63" s="14" t="str">
        <x:v>SVC-0062</x:v>
      </x:c>
      <x:c r="B63" s="14" t="str">
        <x:v>Hair</x:v>
      </x:c>
      <x:c r="C63" s="14" t="str">
        <x:v>Hair Treatments</x:v>
      </x:c>
      <x:c r="D63" s="14" t="str">
        <x:v>Fusio Scrub Ritual</x:v>
      </x:c>
      <x:c r="E63" s="14" t="str">
        <x:v>Long</x:v>
      </x:c>
      <x:c r="F63" s="18" t="n">
        <x:v>40</x:v>
      </x:c>
      <x:c r="G63" s="17" t="n">
        <x:v>414.75</x:v>
      </x:c>
      <x:c r="H63" s="14" t="str">
        <x:v>per service</x:v>
      </x:c>
      <x:c r="I63" s="14" t="str">
        <x:v>Inclusive of 5% VAT</x:v>
      </x:c>
      <x:c r="J63" s="19" t="str">
        <x:v>https://bedashingbeauty.com/service/hair/</x:v>
      </x:c>
      <x:c r="K63" s="14" t="str">
        <x:v>2026-09-03</x:v>
      </x:c>
      <x:c r="L63" s="14" t="str">
        <x:v>Official Bedashing website</x:v>
      </x:c>
      <x:c r="M63" s="14" t="str">
        <x:v>OK</x:v>
      </x:c>
      <x:c r="N63" s="20" t="str"/>
    </x:row>
    <x:row r="64" ht="15" hidden="0" customHeight="1">
      <x:c r="A64" s="14" t="str">
        <x:v>SVC-0063</x:v>
      </x:c>
      <x:c r="B64" s="14" t="str">
        <x:v>Hair</x:v>
      </x:c>
      <x:c r="C64" s="14" t="str">
        <x:v>Hair Treatments</x:v>
      </x:c>
      <x:c r="D64" s="14" t="str">
        <x:v>Premiere Protocol</x:v>
      </x:c>
      <x:c r="E64" s="14" t="str">
        <x:v>Short</x:v>
      </x:c>
      <x:c r="F64" s="18" t="n">
        <x:v>30</x:v>
      </x:c>
      <x:c r="G64" s="17" t="n">
        <x:v>315</x:v>
      </x:c>
      <x:c r="H64" s="14" t="str">
        <x:v>per service</x:v>
      </x:c>
      <x:c r="I64" s="14" t="str">
        <x:v>Inclusive of 5% VAT</x:v>
      </x:c>
      <x:c r="J64" s="19" t="str">
        <x:v>https://bedashingbeauty.com/service/hair/</x:v>
      </x:c>
      <x:c r="K64" s="14" t="str">
        <x:v>2026-09-03</x:v>
      </x:c>
      <x:c r="L64" s="14" t="str">
        <x:v>Official Bedashing website</x:v>
      </x:c>
      <x:c r="M64" s="14" t="str">
        <x:v>OK</x:v>
      </x:c>
      <x:c r="N64" s="20" t="str"/>
    </x:row>
    <x:row r="65" ht="15" hidden="0" customHeight="1">
      <x:c r="A65" s="14" t="str">
        <x:v>SVC-0064</x:v>
      </x:c>
      <x:c r="B65" s="14" t="str">
        <x:v>Hair</x:v>
      </x:c>
      <x:c r="C65" s="14" t="str">
        <x:v>Hair Treatments</x:v>
      </x:c>
      <x:c r="D65" s="14" t="str">
        <x:v>Premiere Protocol</x:v>
      </x:c>
      <x:c r="E65" s="14" t="str">
        <x:v>Medium</x:v>
      </x:c>
      <x:c r="F65" s="18" t="n">
        <x:v>35</x:v>
      </x:c>
      <x:c r="G65" s="17" t="n">
        <x:v>341.25</x:v>
      </x:c>
      <x:c r="H65" s="14" t="str">
        <x:v>per service</x:v>
      </x:c>
      <x:c r="I65" s="14" t="str">
        <x:v>Inclusive of 5% VAT</x:v>
      </x:c>
      <x:c r="J65" s="19" t="str">
        <x:v>https://bedashingbeauty.com/service/hair/</x:v>
      </x:c>
      <x:c r="K65" s="14" t="str">
        <x:v>2026-09-03</x:v>
      </x:c>
      <x:c r="L65" s="14" t="str">
        <x:v>Official Bedashing website</x:v>
      </x:c>
      <x:c r="M65" s="14" t="str">
        <x:v>OK</x:v>
      </x:c>
      <x:c r="N65" s="20" t="str"/>
    </x:row>
    <x:row r="66" ht="15" hidden="0" customHeight="1">
      <x:c r="A66" s="14" t="str">
        <x:v>SVC-0065</x:v>
      </x:c>
      <x:c r="B66" s="14" t="str">
        <x:v>Hair</x:v>
      </x:c>
      <x:c r="C66" s="14" t="str">
        <x:v>Hair Treatments</x:v>
      </x:c>
      <x:c r="D66" s="14" t="str">
        <x:v>Premiere Protocol</x:v>
      </x:c>
      <x:c r="E66" s="14" t="str">
        <x:v>Long</x:v>
      </x:c>
      <x:c r="F66" s="18" t="n">
        <x:v>40</x:v>
      </x:c>
      <x:c r="G66" s="17" t="n">
        <x:v>367.5</x:v>
      </x:c>
      <x:c r="H66" s="14" t="str">
        <x:v>per service</x:v>
      </x:c>
      <x:c r="I66" s="14" t="str">
        <x:v>Inclusive of 5% VAT</x:v>
      </x:c>
      <x:c r="J66" s="19" t="str">
        <x:v>https://bedashingbeauty.com/service/hair/</x:v>
      </x:c>
      <x:c r="K66" s="14" t="str">
        <x:v>2026-09-03</x:v>
      </x:c>
      <x:c r="L66" s="14" t="str">
        <x:v>Official Bedashing website</x:v>
      </x:c>
      <x:c r="M66" s="14" t="str">
        <x:v>OK</x:v>
      </x:c>
      <x:c r="N66" s="20" t="str"/>
    </x:row>
    <x:row r="67" ht="15" hidden="0" customHeight="1">
      <x:c r="A67" s="14" t="str">
        <x:v>SVC-0066</x:v>
      </x:c>
      <x:c r="B67" s="14" t="str">
        <x:v>Hair</x:v>
      </x:c>
      <x:c r="C67" s="14" t="str">
        <x:v>Hair Treatments</x:v>
      </x:c>
      <x:c r="D67" s="14" t="str">
        <x:v>Premiere Post Lightening Protocol</x:v>
      </x:c>
      <x:c r="E67" s="14" t="str">
        <x:v>Short</x:v>
      </x:c>
      <x:c r="F67" s="18" t="n">
        <x:v>30</x:v>
      </x:c>
      <x:c r="G67" s="17" t="n">
        <x:v>315</x:v>
      </x:c>
      <x:c r="H67" s="14" t="str">
        <x:v>per service</x:v>
      </x:c>
      <x:c r="I67" s="14" t="str">
        <x:v>Inclusive of 5% VAT</x:v>
      </x:c>
      <x:c r="J67" s="19" t="str">
        <x:v>https://bedashingbeauty.com/service/hair/</x:v>
      </x:c>
      <x:c r="K67" s="14" t="str">
        <x:v>2026-09-03</x:v>
      </x:c>
      <x:c r="L67" s="14" t="str">
        <x:v>Official Bedashing website</x:v>
      </x:c>
      <x:c r="M67" s="14" t="str">
        <x:v>OK</x:v>
      </x:c>
      <x:c r="N67" s="20" t="str"/>
    </x:row>
    <x:row r="68" ht="15" hidden="0" customHeight="1">
      <x:c r="A68" s="14" t="str">
        <x:v>SVC-0067</x:v>
      </x:c>
      <x:c r="B68" s="14" t="str">
        <x:v>Hair</x:v>
      </x:c>
      <x:c r="C68" s="14" t="str">
        <x:v>Hair Treatments</x:v>
      </x:c>
      <x:c r="D68" s="14" t="str">
        <x:v>Premiere Post Lightening Protocol</x:v>
      </x:c>
      <x:c r="E68" s="14" t="str">
        <x:v>Medium</x:v>
      </x:c>
      <x:c r="F68" s="18" t="n">
        <x:v>35</x:v>
      </x:c>
      <x:c r="G68" s="17" t="n">
        <x:v>341.25</x:v>
      </x:c>
      <x:c r="H68" s="14" t="str">
        <x:v>per service</x:v>
      </x:c>
      <x:c r="I68" s="14" t="str">
        <x:v>Inclusive of 5% VAT</x:v>
      </x:c>
      <x:c r="J68" s="19" t="str">
        <x:v>https://bedashingbeauty.com/service/hair/</x:v>
      </x:c>
      <x:c r="K68" s="14" t="str">
        <x:v>2026-09-03</x:v>
      </x:c>
      <x:c r="L68" s="14" t="str">
        <x:v>Official Bedashing website</x:v>
      </x:c>
      <x:c r="M68" s="14" t="str">
        <x:v>OK</x:v>
      </x:c>
      <x:c r="N68" s="20" t="str"/>
    </x:row>
    <x:row r="69" ht="15" hidden="0" customHeight="1">
      <x:c r="A69" s="14" t="str">
        <x:v>SVC-0068</x:v>
      </x:c>
      <x:c r="B69" s="14" t="str">
        <x:v>Hair</x:v>
      </x:c>
      <x:c r="C69" s="14" t="str">
        <x:v>Hair Treatments</x:v>
      </x:c>
      <x:c r="D69" s="14" t="str">
        <x:v>Premiere Post Lightening Protocol</x:v>
      </x:c>
      <x:c r="E69" s="14" t="str">
        <x:v>Long</x:v>
      </x:c>
      <x:c r="F69" s="18" t="n">
        <x:v>40</x:v>
      </x:c>
      <x:c r="G69" s="17" t="n">
        <x:v>367.5</x:v>
      </x:c>
      <x:c r="H69" s="14" t="str">
        <x:v>per service</x:v>
      </x:c>
      <x:c r="I69" s="14" t="str">
        <x:v>Inclusive of 5% VAT</x:v>
      </x:c>
      <x:c r="J69" s="19" t="str">
        <x:v>https://bedashingbeauty.com/service/hair/</x:v>
      </x:c>
      <x:c r="K69" s="14" t="str">
        <x:v>2026-09-03</x:v>
      </x:c>
      <x:c r="L69" s="14" t="str">
        <x:v>Official Bedashing website</x:v>
      </x:c>
      <x:c r="M69" s="14" t="str">
        <x:v>OK</x:v>
      </x:c>
      <x:c r="N69" s="20" t="str"/>
    </x:row>
    <x:row r="70" ht="15" hidden="0" customHeight="1">
      <x:c r="A70" s="14" t="str">
        <x:v>SVC-0069</x:v>
      </x:c>
      <x:c r="B70" s="14" t="str">
        <x:v>Hair</x:v>
      </x:c>
      <x:c r="C70" s="14" t="str">
        <x:v>Hair Treatments</x:v>
      </x:c>
      <x:c r="D70" s="14" t="str">
        <x:v>Collagen Hair Treatment</x:v>
      </x:c>
      <x:c r="E70" s="14" t="str">
        <x:v>Short</x:v>
      </x:c>
      <x:c r="F70" s="18" t="n">
        <x:v>30</x:v>
      </x:c>
      <x:c r="G70" s="17" t="n">
        <x:v>577.5</x:v>
      </x:c>
      <x:c r="H70" s="14" t="str">
        <x:v>per service</x:v>
      </x:c>
      <x:c r="I70" s="14" t="str">
        <x:v>Inclusive of 5% VAT</x:v>
      </x:c>
      <x:c r="J70" s="19" t="str">
        <x:v>https://bedashingbeauty.com/service/hair/</x:v>
      </x:c>
      <x:c r="K70" s="14" t="str">
        <x:v>2026-09-03</x:v>
      </x:c>
      <x:c r="L70" s="14" t="str">
        <x:v>Official Bedashing website</x:v>
      </x:c>
      <x:c r="M70" s="14" t="str">
        <x:v>OK</x:v>
      </x:c>
      <x:c r="N70" s="20" t="str"/>
    </x:row>
    <x:row r="71" ht="15" hidden="0" customHeight="1">
      <x:c r="A71" s="14" t="str">
        <x:v>SVC-0070</x:v>
      </x:c>
      <x:c r="B71" s="14" t="str">
        <x:v>Hair</x:v>
      </x:c>
      <x:c r="C71" s="14" t="str">
        <x:v>Hair Treatments</x:v>
      </x:c>
      <x:c r="D71" s="14" t="str">
        <x:v>Collagen Hair Treatment</x:v>
      </x:c>
      <x:c r="E71" s="14" t="str">
        <x:v>Medium</x:v>
      </x:c>
      <x:c r="F71" s="18" t="n">
        <x:v>35</x:v>
      </x:c>
      <x:c r="G71" s="17" t="n">
        <x:v>682.5</x:v>
      </x:c>
      <x:c r="H71" s="14" t="str">
        <x:v>per service</x:v>
      </x:c>
      <x:c r="I71" s="14" t="str">
        <x:v>Inclusive of 5% VAT</x:v>
      </x:c>
      <x:c r="J71" s="19" t="str">
        <x:v>https://bedashingbeauty.com/service/hair/</x:v>
      </x:c>
      <x:c r="K71" s="14" t="str">
        <x:v>2026-09-03</x:v>
      </x:c>
      <x:c r="L71" s="14" t="str">
        <x:v>Official Bedashing website</x:v>
      </x:c>
      <x:c r="M71" s="14" t="str">
        <x:v>OK</x:v>
      </x:c>
      <x:c r="N71" s="20" t="str"/>
    </x:row>
    <x:row r="72" ht="15" hidden="0" customHeight="1">
      <x:c r="A72" s="14" t="str">
        <x:v>SVC-0071</x:v>
      </x:c>
      <x:c r="B72" s="14" t="str">
        <x:v>Hair</x:v>
      </x:c>
      <x:c r="C72" s="14" t="str">
        <x:v>Hair Treatments</x:v>
      </x:c>
      <x:c r="D72" s="14" t="str">
        <x:v>Collagen Hair Treatment</x:v>
      </x:c>
      <x:c r="E72" s="14" t="str">
        <x:v>Long</x:v>
      </x:c>
      <x:c r="F72" s="18" t="n">
        <x:v>40</x:v>
      </x:c>
      <x:c r="G72" s="17" t="n">
        <x:v>787.5</x:v>
      </x:c>
      <x:c r="H72" s="14" t="str">
        <x:v>per service</x:v>
      </x:c>
      <x:c r="I72" s="14" t="str">
        <x:v>Inclusive of 5% VAT</x:v>
      </x:c>
      <x:c r="J72" s="19" t="str">
        <x:v>https://bedashingbeauty.com/service/hair/</x:v>
      </x:c>
      <x:c r="K72" s="14" t="str">
        <x:v>2026-09-03</x:v>
      </x:c>
      <x:c r="L72" s="14" t="str">
        <x:v>Official Bedashing website</x:v>
      </x:c>
      <x:c r="M72" s="14" t="str">
        <x:v>OK</x:v>
      </x:c>
      <x:c r="N72" s="20" t="str"/>
    </x:row>
    <x:row r="73" ht="15" hidden="0" customHeight="1">
      <x:c r="A73" s="14" t="str">
        <x:v>SVC-0072</x:v>
      </x:c>
      <x:c r="B73" s="14" t="str">
        <x:v>Hair</x:v>
      </x:c>
      <x:c r="C73" s="14" t="str">
        <x:v>Hair Treatments</x:v>
      </x:c>
      <x:c r="D73" s="14" t="str">
        <x:v>Chroma Absolu Color Gloss</x:v>
      </x:c>
      <x:c r="E73" s="14" t="str">
        <x:v>Short</x:v>
      </x:c>
      <x:c r="F73" s="18" t="n">
        <x:v>30</x:v>
      </x:c>
      <x:c r="G73" s="17" t="n">
        <x:v>262.5</x:v>
      </x:c>
      <x:c r="H73" s="14" t="str">
        <x:v>per service</x:v>
      </x:c>
      <x:c r="I73" s="14" t="str">
        <x:v>Inclusive of 5% VAT</x:v>
      </x:c>
      <x:c r="J73" s="19" t="str">
        <x:v>https://bedashingbeauty.com/service/hair/</x:v>
      </x:c>
      <x:c r="K73" s="14" t="str">
        <x:v>2026-09-03</x:v>
      </x:c>
      <x:c r="L73" s="14" t="str">
        <x:v>Official Bedashing website</x:v>
      </x:c>
      <x:c r="M73" s="14" t="str">
        <x:v>OK</x:v>
      </x:c>
      <x:c r="N73" s="20" t="str"/>
    </x:row>
    <x:row r="74" ht="15" hidden="0" customHeight="1">
      <x:c r="A74" s="14" t="str">
        <x:v>SVC-0073</x:v>
      </x:c>
      <x:c r="B74" s="14" t="str">
        <x:v>Hair</x:v>
      </x:c>
      <x:c r="C74" s="14" t="str">
        <x:v>Hair Treatments</x:v>
      </x:c>
      <x:c r="D74" s="14" t="str">
        <x:v>Chroma Absolu Color Gloss</x:v>
      </x:c>
      <x:c r="E74" s="14" t="str">
        <x:v>Medium</x:v>
      </x:c>
      <x:c r="F74" s="18" t="n">
        <x:v>35</x:v>
      </x:c>
      <x:c r="G74" s="17" t="n">
        <x:v>304</x:v>
      </x:c>
      <x:c r="H74" s="14" t="str">
        <x:v>per service</x:v>
      </x:c>
      <x:c r="I74" s="14" t="str">
        <x:v>Inclusive of 5% VAT</x:v>
      </x:c>
      <x:c r="J74" s="19" t="str">
        <x:v>https://bedashingbeauty.com/service/hair/</x:v>
      </x:c>
      <x:c r="K74" s="14" t="str">
        <x:v>2026-09-03</x:v>
      </x:c>
      <x:c r="L74" s="14" t="str">
        <x:v>Official Bedashing website</x:v>
      </x:c>
      <x:c r="M74" s="14" t="str">
        <x:v>OK</x:v>
      </x:c>
      <x:c r="N74" s="20" t="str"/>
    </x:row>
    <x:row r="75" ht="15" hidden="0" customHeight="1">
      <x:c r="A75" s="14" t="str">
        <x:v>SVC-0074</x:v>
      </x:c>
      <x:c r="B75" s="14" t="str">
        <x:v>Hair</x:v>
      </x:c>
      <x:c r="C75" s="14" t="str">
        <x:v>Hair Treatments</x:v>
      </x:c>
      <x:c r="D75" s="14" t="str">
        <x:v>Chroma Absolu Color Gloss</x:v>
      </x:c>
      <x:c r="E75" s="14" t="str">
        <x:v>Long</x:v>
      </x:c>
      <x:c r="F75" s="18" t="n">
        <x:v>40</x:v>
      </x:c>
      <x:c r="G75" s="17" t="n">
        <x:v>346.5</x:v>
      </x:c>
      <x:c r="H75" s="14" t="str">
        <x:v>per service</x:v>
      </x:c>
      <x:c r="I75" s="14" t="str">
        <x:v>Inclusive of 5% VAT</x:v>
      </x:c>
      <x:c r="J75" s="19" t="str">
        <x:v>https://bedashingbeauty.com/service/hair/</x:v>
      </x:c>
      <x:c r="K75" s="14" t="str">
        <x:v>2026-09-03</x:v>
      </x:c>
      <x:c r="L75" s="14" t="str">
        <x:v>Official Bedashing website</x:v>
      </x:c>
      <x:c r="M75" s="14" t="str">
        <x:v>OK</x:v>
      </x:c>
      <x:c r="N75" s="20" t="str"/>
    </x:row>
    <x:row r="76" ht="15" hidden="0" customHeight="1">
      <x:c r="A76" s="14" t="str">
        <x:v>SVC-0075</x:v>
      </x:c>
      <x:c r="B76" s="14" t="str">
        <x:v>Hair</x:v>
      </x:c>
      <x:c r="C76" s="14" t="str">
        <x:v>Hair Treatments</x:v>
      </x:c>
      <x:c r="D76" s="14" t="str">
        <x:v>Alterna Hair Care Treatment</x:v>
      </x:c>
      <x:c r="E76" s="14" t="str">
        <x:v>Short</x:v>
      </x:c>
      <x:c r="F76" s="18" t="n">
        <x:v>30</x:v>
      </x:c>
      <x:c r="G76" s="17" t="n">
        <x:v>210</x:v>
      </x:c>
      <x:c r="H76" s="14" t="str">
        <x:v>per service</x:v>
      </x:c>
      <x:c r="I76" s="14" t="str">
        <x:v>Inclusive of 5% VAT</x:v>
      </x:c>
      <x:c r="J76" s="19" t="str">
        <x:v>https://bedashingbeauty.com/service/hair/</x:v>
      </x:c>
      <x:c r="K76" s="14" t="str">
        <x:v>2026-09-03</x:v>
      </x:c>
      <x:c r="L76" s="14" t="str">
        <x:v>Official Bedashing website</x:v>
      </x:c>
      <x:c r="M76" s="14" t="str">
        <x:v>OK</x:v>
      </x:c>
      <x:c r="N76" s="20" t="str"/>
    </x:row>
    <x:row r="77" ht="15" hidden="0" customHeight="1">
      <x:c r="A77" s="14" t="str">
        <x:v>SVC-0076</x:v>
      </x:c>
      <x:c r="B77" s="14" t="str">
        <x:v>Hair</x:v>
      </x:c>
      <x:c r="C77" s="14" t="str">
        <x:v>Hair Treatments</x:v>
      </x:c>
      <x:c r="D77" s="14" t="str">
        <x:v>Alterna Hair Care Treatment</x:v>
      </x:c>
      <x:c r="E77" s="14" t="str">
        <x:v>Medium</x:v>
      </x:c>
      <x:c r="F77" s="18" t="n">
        <x:v>40</x:v>
      </x:c>
      <x:c r="G77" s="17" t="n">
        <x:v>262.5</x:v>
      </x:c>
      <x:c r="H77" s="14" t="str">
        <x:v>per service</x:v>
      </x:c>
      <x:c r="I77" s="14" t="str">
        <x:v>Inclusive of 5% VAT</x:v>
      </x:c>
      <x:c r="J77" s="19" t="str">
        <x:v>https://bedashingbeauty.com/service/hair/</x:v>
      </x:c>
      <x:c r="K77" s="14" t="str">
        <x:v>2026-09-03</x:v>
      </x:c>
      <x:c r="L77" s="14" t="str">
        <x:v>Official Bedashing website</x:v>
      </x:c>
      <x:c r="M77" s="14" t="str">
        <x:v>OK</x:v>
      </x:c>
      <x:c r="N77" s="20" t="str"/>
    </x:row>
    <x:row r="78" ht="15" hidden="0" customHeight="1">
      <x:c r="A78" s="14" t="str">
        <x:v>SVC-0077</x:v>
      </x:c>
      <x:c r="B78" s="14" t="str">
        <x:v>Hair</x:v>
      </x:c>
      <x:c r="C78" s="14" t="str">
        <x:v>Hair Treatments</x:v>
      </x:c>
      <x:c r="D78" s="14" t="str">
        <x:v>Alterna Hair Care Treatment</x:v>
      </x:c>
      <x:c r="E78" s="14" t="str">
        <x:v>Long</x:v>
      </x:c>
      <x:c r="F78" s="18" t="n">
        <x:v>45</x:v>
      </x:c>
      <x:c r="G78" s="17" t="n">
        <x:v>315</x:v>
      </x:c>
      <x:c r="H78" s="14" t="str">
        <x:v>per service</x:v>
      </x:c>
      <x:c r="I78" s="14" t="str">
        <x:v>Inclusive of 5% VAT</x:v>
      </x:c>
      <x:c r="J78" s="19" t="str">
        <x:v>https://bedashingbeauty.com/service/hair/</x:v>
      </x:c>
      <x:c r="K78" s="14" t="str">
        <x:v>2026-09-03</x:v>
      </x:c>
      <x:c r="L78" s="14" t="str">
        <x:v>Official Bedashing website</x:v>
      </x:c>
      <x:c r="M78" s="14" t="str">
        <x:v>OK</x:v>
      </x:c>
      <x:c r="N78" s="20" t="str"/>
    </x:row>
    <x:row r="79" ht="15" hidden="0" customHeight="1">
      <x:c r="A79" s="14" t="str">
        <x:v>SVC-0078</x:v>
      </x:c>
      <x:c r="B79" s="14" t="str">
        <x:v>Hair</x:v>
      </x:c>
      <x:c r="C79" s="14" t="str">
        <x:v>Hair Treatments</x:v>
      </x:c>
      <x:c r="D79" s="14" t="str">
        <x:v>Alterna Intensive Treatment</x:v>
      </x:c>
      <x:c r="E79" s="14" t="str">
        <x:v>Short</x:v>
      </x:c>
      <x:c r="F79" s="18" t="n">
        <x:v>30</x:v>
      </x:c>
      <x:c r="G79" s="17" t="n">
        <x:v>262.5</x:v>
      </x:c>
      <x:c r="H79" s="14" t="str">
        <x:v>per service</x:v>
      </x:c>
      <x:c r="I79" s="14" t="str">
        <x:v>Inclusive of 5% VAT</x:v>
      </x:c>
      <x:c r="J79" s="19" t="str">
        <x:v>https://bedashingbeauty.com/service/hair/</x:v>
      </x:c>
      <x:c r="K79" s="14" t="str">
        <x:v>2026-09-03</x:v>
      </x:c>
      <x:c r="L79" s="14" t="str">
        <x:v>Official Bedashing website</x:v>
      </x:c>
      <x:c r="M79" s="14" t="str">
        <x:v>OK</x:v>
      </x:c>
      <x:c r="N79" s="20" t="str"/>
    </x:row>
    <x:row r="80" ht="15" hidden="0" customHeight="1">
      <x:c r="A80" s="14" t="str">
        <x:v>SVC-0079</x:v>
      </x:c>
      <x:c r="B80" s="14" t="str">
        <x:v>Hair</x:v>
      </x:c>
      <x:c r="C80" s="14" t="str">
        <x:v>Hair Treatments</x:v>
      </x:c>
      <x:c r="D80" s="14" t="str">
        <x:v>Alterna Intensive Treatment</x:v>
      </x:c>
      <x:c r="E80" s="14" t="str">
        <x:v>Medium</x:v>
      </x:c>
      <x:c r="F80" s="18" t="n">
        <x:v>40</x:v>
      </x:c>
      <x:c r="G80" s="17" t="n">
        <x:v>315</x:v>
      </x:c>
      <x:c r="H80" s="14" t="str">
        <x:v>per service</x:v>
      </x:c>
      <x:c r="I80" s="14" t="str">
        <x:v>Inclusive of 5% VAT</x:v>
      </x:c>
      <x:c r="J80" s="19" t="str">
        <x:v>https://bedashingbeauty.com/service/hair/</x:v>
      </x:c>
      <x:c r="K80" s="14" t="str">
        <x:v>2026-09-03</x:v>
      </x:c>
      <x:c r="L80" s="14" t="str">
        <x:v>Official Bedashing website</x:v>
      </x:c>
      <x:c r="M80" s="14" t="str">
        <x:v>OK</x:v>
      </x:c>
      <x:c r="N80" s="20" t="str"/>
    </x:row>
    <x:row r="81" ht="15" hidden="0" customHeight="1">
      <x:c r="A81" s="14" t="str">
        <x:v>SVC-0080</x:v>
      </x:c>
      <x:c r="B81" s="14" t="str">
        <x:v>Hair</x:v>
      </x:c>
      <x:c r="C81" s="14" t="str">
        <x:v>Hair Treatments</x:v>
      </x:c>
      <x:c r="D81" s="14" t="str">
        <x:v>Alterna Intensive Treatment</x:v>
      </x:c>
      <x:c r="E81" s="14" t="str">
        <x:v>Long</x:v>
      </x:c>
      <x:c r="F81" s="18" t="n">
        <x:v>45</x:v>
      </x:c>
      <x:c r="G81" s="17" t="n">
        <x:v>367.5</x:v>
      </x:c>
      <x:c r="H81" s="14" t="str">
        <x:v>per service</x:v>
      </x:c>
      <x:c r="I81" s="14" t="str">
        <x:v>Inclusive of 5% VAT</x:v>
      </x:c>
      <x:c r="J81" s="19" t="str">
        <x:v>https://bedashingbeauty.com/service/hair/</x:v>
      </x:c>
      <x:c r="K81" s="14" t="str">
        <x:v>2026-09-03</x:v>
      </x:c>
      <x:c r="L81" s="14" t="str">
        <x:v>Official Bedashing website</x:v>
      </x:c>
      <x:c r="M81" s="14" t="str">
        <x:v>OK</x:v>
      </x:c>
      <x:c r="N81" s="20" t="str"/>
    </x:row>
    <x:row r="82" ht="15" hidden="0" customHeight="1">
      <x:c r="A82" s="14" t="str">
        <x:v>SVC-0081</x:v>
      </x:c>
      <x:c r="B82" s="14" t="str">
        <x:v>Hair</x:v>
      </x:c>
      <x:c r="C82" s="14" t="str">
        <x:v>Hair Treatments</x:v>
      </x:c>
      <x:c r="D82" s="14" t="str">
        <x:v>Alterna Intensive Treatment with Ceramide Shot</x:v>
      </x:c>
      <x:c r="E82" s="14" t="str">
        <x:v>Short</x:v>
      </x:c>
      <x:c r="F82" s="18" t="n">
        <x:v>30</x:v>
      </x:c>
      <x:c r="G82" s="17" t="n">
        <x:v>315</x:v>
      </x:c>
      <x:c r="H82" s="14" t="str">
        <x:v>per service</x:v>
      </x:c>
      <x:c r="I82" s="14" t="str">
        <x:v>Inclusive of 5% VAT</x:v>
      </x:c>
      <x:c r="J82" s="19" t="str">
        <x:v>https://bedashingbeauty.com/service/hair/</x:v>
      </x:c>
      <x:c r="K82" s="14" t="str">
        <x:v>2026-09-03</x:v>
      </x:c>
      <x:c r="L82" s="14" t="str">
        <x:v>Official Bedashing website</x:v>
      </x:c>
      <x:c r="M82" s="14" t="str">
        <x:v>OK</x:v>
      </x:c>
      <x:c r="N82" s="20" t="str"/>
    </x:row>
    <x:row r="83" ht="15" hidden="0" customHeight="1">
      <x:c r="A83" s="14" t="str">
        <x:v>SVC-0082</x:v>
      </x:c>
      <x:c r="B83" s="14" t="str">
        <x:v>Hair</x:v>
      </x:c>
      <x:c r="C83" s="14" t="str">
        <x:v>Hair Treatments</x:v>
      </x:c>
      <x:c r="D83" s="14" t="str">
        <x:v>Alterna Intensive Treatment with Ceramide Shot</x:v>
      </x:c>
      <x:c r="E83" s="14" t="str">
        <x:v>Medium</x:v>
      </x:c>
      <x:c r="F83" s="18" t="n">
        <x:v>40</x:v>
      </x:c>
      <x:c r="G83" s="17" t="n">
        <x:v>367.5</x:v>
      </x:c>
      <x:c r="H83" s="14" t="str">
        <x:v>per service</x:v>
      </x:c>
      <x:c r="I83" s="14" t="str">
        <x:v>Inclusive of 5% VAT</x:v>
      </x:c>
      <x:c r="J83" s="19" t="str">
        <x:v>https://bedashingbeauty.com/service/hair/</x:v>
      </x:c>
      <x:c r="K83" s="14" t="str">
        <x:v>2026-09-03</x:v>
      </x:c>
      <x:c r="L83" s="14" t="str">
        <x:v>Official Bedashing website</x:v>
      </x:c>
      <x:c r="M83" s="14" t="str">
        <x:v>OK</x:v>
      </x:c>
      <x:c r="N83" s="20" t="str"/>
    </x:row>
    <x:row r="84" ht="15" hidden="0" customHeight="1">
      <x:c r="A84" s="14" t="str">
        <x:v>SVC-0083</x:v>
      </x:c>
      <x:c r="B84" s="14" t="str">
        <x:v>Hair</x:v>
      </x:c>
      <x:c r="C84" s="14" t="str">
        <x:v>Hair Treatments</x:v>
      </x:c>
      <x:c r="D84" s="14" t="str">
        <x:v>Alterna Intensive Treatment with Ceramide Shot</x:v>
      </x:c>
      <x:c r="E84" s="14" t="str">
        <x:v>Long</x:v>
      </x:c>
      <x:c r="F84" s="18" t="n">
        <x:v>45</x:v>
      </x:c>
      <x:c r="G84" s="17" t="n">
        <x:v>420</x:v>
      </x:c>
      <x:c r="H84" s="14" t="str">
        <x:v>per service</x:v>
      </x:c>
      <x:c r="I84" s="14" t="str">
        <x:v>Inclusive of 5% VAT</x:v>
      </x:c>
      <x:c r="J84" s="19" t="str">
        <x:v>https://bedashingbeauty.com/service/hair/</x:v>
      </x:c>
      <x:c r="K84" s="14" t="str">
        <x:v>2026-09-03</x:v>
      </x:c>
      <x:c r="L84" s="14" t="str">
        <x:v>Official Bedashing website</x:v>
      </x:c>
      <x:c r="M84" s="14" t="str">
        <x:v>OK</x:v>
      </x:c>
      <x:c r="N84" s="20" t="str"/>
    </x:row>
    <x:row r="85" ht="15" hidden="0" customHeight="1">
      <x:c r="A85" s="14" t="str">
        <x:v>SVC-0084</x:v>
      </x:c>
      <x:c r="B85" s="14" t="str">
        <x:v>Hair</x:v>
      </x:c>
      <x:c r="C85" s="14" t="str">
        <x:v>Hair Treatments</x:v>
      </x:c>
      <x:c r="D85" s="14" t="str">
        <x:v>Ultra-Hydration</x:v>
      </x:c>
      <x:c r="E85" s="14" t="str">
        <x:v>Short</x:v>
      </x:c>
      <x:c r="F85" s="18" t="n">
        <x:v>30</x:v>
      </x:c>
      <x:c r="G85" s="17" t="n">
        <x:v>262</x:v>
      </x:c>
      <x:c r="H85" s="14" t="str">
        <x:v>per service</x:v>
      </x:c>
      <x:c r="I85" s="14" t="str">
        <x:v>Inclusive of 5% VAT</x:v>
      </x:c>
      <x:c r="J85" s="19" t="str">
        <x:v>https://bedashingbeauty.com/service/hair/</x:v>
      </x:c>
      <x:c r="K85" s="14" t="str">
        <x:v>2026-09-03</x:v>
      </x:c>
      <x:c r="L85" s="14" t="str">
        <x:v>Official Bedashing website</x:v>
      </x:c>
      <x:c r="M85" s="14" t="str">
        <x:v>OK</x:v>
      </x:c>
      <x:c r="N85" s="20" t="str"/>
    </x:row>
    <x:row r="86" ht="15" hidden="0" customHeight="1">
      <x:c r="A86" s="14" t="str">
        <x:v>SVC-0085</x:v>
      </x:c>
      <x:c r="B86" s="14" t="str">
        <x:v>Hair</x:v>
      </x:c>
      <x:c r="C86" s="14" t="str">
        <x:v>Hair Treatments</x:v>
      </x:c>
      <x:c r="D86" s="14" t="str">
        <x:v>Ultra-Hydration</x:v>
      </x:c>
      <x:c r="E86" s="14" t="str">
        <x:v>Medium</x:v>
      </x:c>
      <x:c r="F86" s="18" t="n">
        <x:v>40</x:v>
      </x:c>
      <x:c r="G86" s="17" t="n">
        <x:v>305</x:v>
      </x:c>
      <x:c r="H86" s="14" t="str">
        <x:v>per service</x:v>
      </x:c>
      <x:c r="I86" s="14" t="str">
        <x:v>Inclusive of 5% VAT</x:v>
      </x:c>
      <x:c r="J86" s="19" t="str">
        <x:v>https://bedashingbeauty.com/service/hair/</x:v>
      </x:c>
      <x:c r="K86" s="14" t="str">
        <x:v>2026-09-03</x:v>
      </x:c>
      <x:c r="L86" s="14" t="str">
        <x:v>Official Bedashing website</x:v>
      </x:c>
      <x:c r="M86" s="14" t="str">
        <x:v>OK</x:v>
      </x:c>
      <x:c r="N86" s="20" t="str"/>
    </x:row>
    <x:row r="87" ht="15" hidden="0" customHeight="1">
      <x:c r="A87" s="14" t="str">
        <x:v>SVC-0086</x:v>
      </x:c>
      <x:c r="B87" s="14" t="str">
        <x:v>Hair</x:v>
      </x:c>
      <x:c r="C87" s="14" t="str">
        <x:v>Hair Treatments</x:v>
      </x:c>
      <x:c r="D87" s="14" t="str">
        <x:v>Ultra-Hydration</x:v>
      </x:c>
      <x:c r="E87" s="14" t="str">
        <x:v>Long</x:v>
      </x:c>
      <x:c r="F87" s="18" t="n">
        <x:v>40</x:v>
      </x:c>
      <x:c r="G87" s="17" t="n">
        <x:v>347</x:v>
      </x:c>
      <x:c r="H87" s="14" t="str">
        <x:v>per service</x:v>
      </x:c>
      <x:c r="I87" s="14" t="str">
        <x:v>Inclusive of 5% VAT</x:v>
      </x:c>
      <x:c r="J87" s="19" t="str">
        <x:v>https://bedashingbeauty.com/service/hair/</x:v>
      </x:c>
      <x:c r="K87" s="14" t="str">
        <x:v>2026-09-03</x:v>
      </x:c>
      <x:c r="L87" s="14" t="str">
        <x:v>Official Bedashing website</x:v>
      </x:c>
      <x:c r="M87" s="14" t="str">
        <x:v>OK</x:v>
      </x:c>
      <x:c r="N87" s="20" t="str"/>
    </x:row>
    <x:row r="88" ht="15" hidden="0" customHeight="1">
      <x:c r="A88" s="14" t="str">
        <x:v>SVC-0087</x:v>
      </x:c>
      <x:c r="B88" s="14" t="str">
        <x:v>Hair</x:v>
      </x:c>
      <x:c r="C88" s="14" t="str">
        <x:v>Hair Treatments</x:v>
      </x:c>
      <x:c r="D88" s="14" t="str">
        <x:v>Balmain Deluxe Hair Spa</x:v>
      </x:c>
      <x:c r="E88" s="14" t="str">
        <x:v>Short</x:v>
      </x:c>
      <x:c r="F88" s="18" t="n">
        <x:v>40</x:v>
      </x:c>
      <x:c r="G88" s="17" t="n">
        <x:v>367.5</x:v>
      </x:c>
      <x:c r="H88" s="14" t="str">
        <x:v>per service</x:v>
      </x:c>
      <x:c r="I88" s="14" t="str">
        <x:v>Inclusive of 5% VAT</x:v>
      </x:c>
      <x:c r="J88" s="19" t="str">
        <x:v>https://bedashingbeauty.com/service/hair/</x:v>
      </x:c>
      <x:c r="K88" s="14" t="str">
        <x:v>2026-09-03</x:v>
      </x:c>
      <x:c r="L88" s="14" t="str">
        <x:v>Official Bedashing website</x:v>
      </x:c>
      <x:c r="M88" s="14" t="str">
        <x:v>OK</x:v>
      </x:c>
      <x:c r="N88" s="20" t="str"/>
    </x:row>
    <x:row r="89" ht="15" hidden="0" customHeight="1">
      <x:c r="A89" s="14" t="str">
        <x:v>SVC-0088</x:v>
      </x:c>
      <x:c r="B89" s="14" t="str">
        <x:v>Hair</x:v>
      </x:c>
      <x:c r="C89" s="14" t="str">
        <x:v>Hair Treatments</x:v>
      </x:c>
      <x:c r="D89" s="14" t="str">
        <x:v>Balmain Deluxe Hair Spa</x:v>
      </x:c>
      <x:c r="E89" s="14" t="str">
        <x:v>Medium</x:v>
      </x:c>
      <x:c r="F89" s="18" t="n">
        <x:v>40</x:v>
      </x:c>
      <x:c r="G89" s="17" t="n">
        <x:v>420</x:v>
      </x:c>
      <x:c r="H89" s="14" t="str">
        <x:v>per service</x:v>
      </x:c>
      <x:c r="I89" s="14" t="str">
        <x:v>Inclusive of 5% VAT</x:v>
      </x:c>
      <x:c r="J89" s="19" t="str">
        <x:v>https://bedashingbeauty.com/service/hair/</x:v>
      </x:c>
      <x:c r="K89" s="14" t="str">
        <x:v>2026-09-03</x:v>
      </x:c>
      <x:c r="L89" s="14" t="str">
        <x:v>Official Bedashing website</x:v>
      </x:c>
      <x:c r="M89" s="14" t="str">
        <x:v>OK</x:v>
      </x:c>
      <x:c r="N89" s="20" t="str"/>
    </x:row>
    <x:row r="90" ht="15" hidden="0" customHeight="1">
      <x:c r="A90" s="14" t="str">
        <x:v>SVC-0089</x:v>
      </x:c>
      <x:c r="B90" s="14" t="str">
        <x:v>Hair</x:v>
      </x:c>
      <x:c r="C90" s="14" t="str">
        <x:v>Hair Treatments</x:v>
      </x:c>
      <x:c r="D90" s="14" t="str">
        <x:v>Balmain Deluxe Hair Spa</x:v>
      </x:c>
      <x:c r="E90" s="14" t="str">
        <x:v>Long</x:v>
      </x:c>
      <x:c r="F90" s="18" t="n">
        <x:v>40</x:v>
      </x:c>
      <x:c r="G90" s="17" t="n">
        <x:v>473</x:v>
      </x:c>
      <x:c r="H90" s="14" t="str">
        <x:v>per service</x:v>
      </x:c>
      <x:c r="I90" s="14" t="str">
        <x:v>Inclusive of 5% VAT</x:v>
      </x:c>
      <x:c r="J90" s="19" t="str">
        <x:v>https://bedashingbeauty.com/service/hair/</x:v>
      </x:c>
      <x:c r="K90" s="14" t="str">
        <x:v>2026-09-03</x:v>
      </x:c>
      <x:c r="L90" s="14" t="str">
        <x:v>Official Bedashing website</x:v>
      </x:c>
      <x:c r="M90" s="14" t="str">
        <x:v>OK</x:v>
      </x:c>
      <x:c r="N90" s="20" t="str"/>
    </x:row>
    <x:row r="91" ht="15" hidden="0" customHeight="1">
      <x:c r="A91" s="14" t="str">
        <x:v>SVC-0090</x:v>
      </x:c>
      <x:c r="B91" s="14" t="str">
        <x:v>Hair</x:v>
      </x:c>
      <x:c r="C91" s="14" t="str">
        <x:v>Hair Treatments</x:v>
      </x:c>
      <x:c r="D91" s="14" t="str">
        <x:v>Balmain Enriching Treatment</x:v>
      </x:c>
      <x:c r="E91" s="14" t="str">
        <x:v>Short</x:v>
      </x:c>
      <x:c r="F91" s="18" t="n">
        <x:v>30</x:v>
      </x:c>
      <x:c r="G91" s="17" t="n">
        <x:v>262.5</x:v>
      </x:c>
      <x:c r="H91" s="14" t="str">
        <x:v>per service</x:v>
      </x:c>
      <x:c r="I91" s="14" t="str">
        <x:v>Inclusive of 5% VAT</x:v>
      </x:c>
      <x:c r="J91" s="19" t="str">
        <x:v>https://bedashingbeauty.com/service/hair/</x:v>
      </x:c>
      <x:c r="K91" s="14" t="str">
        <x:v>2026-09-03</x:v>
      </x:c>
      <x:c r="L91" s="14" t="str">
        <x:v>Official Bedashing website</x:v>
      </x:c>
      <x:c r="M91" s="14" t="str">
        <x:v>OK</x:v>
      </x:c>
      <x:c r="N91" s="20" t="str"/>
    </x:row>
    <x:row r="92" ht="15" hidden="0" customHeight="1">
      <x:c r="A92" s="14" t="str">
        <x:v>SVC-0091</x:v>
      </x:c>
      <x:c r="B92" s="14" t="str">
        <x:v>Hair</x:v>
      </x:c>
      <x:c r="C92" s="14" t="str">
        <x:v>Hair Treatments</x:v>
      </x:c>
      <x:c r="D92" s="14" t="str">
        <x:v>Balmain Enriching Treatment</x:v>
      </x:c>
      <x:c r="E92" s="14" t="str">
        <x:v>Medium</x:v>
      </x:c>
      <x:c r="F92" s="18" t="n">
        <x:v>30</x:v>
      </x:c>
      <x:c r="G92" s="17" t="n">
        <x:v>315</x:v>
      </x:c>
      <x:c r="H92" s="14" t="str">
        <x:v>per service</x:v>
      </x:c>
      <x:c r="I92" s="14" t="str">
        <x:v>Inclusive of 5% VAT</x:v>
      </x:c>
      <x:c r="J92" s="19" t="str">
        <x:v>https://bedashingbeauty.com/service/hair/</x:v>
      </x:c>
      <x:c r="K92" s="14" t="str">
        <x:v>2026-09-03</x:v>
      </x:c>
      <x:c r="L92" s="14" t="str">
        <x:v>Official Bedashing website</x:v>
      </x:c>
      <x:c r="M92" s="14" t="str">
        <x:v>OK</x:v>
      </x:c>
      <x:c r="N92" s="20" t="str"/>
    </x:row>
    <x:row r="93" ht="15" hidden="0" customHeight="1">
      <x:c r="A93" s="14" t="str">
        <x:v>SVC-0092</x:v>
      </x:c>
      <x:c r="B93" s="14" t="str">
        <x:v>Hair</x:v>
      </x:c>
      <x:c r="C93" s="14" t="str">
        <x:v>Hair Treatments</x:v>
      </x:c>
      <x:c r="D93" s="14" t="str">
        <x:v>Balmain Enriching Treatment</x:v>
      </x:c>
      <x:c r="E93" s="14" t="str">
        <x:v>Long</x:v>
      </x:c>
      <x:c r="F93" s="18" t="n">
        <x:v>30</x:v>
      </x:c>
      <x:c r="G93" s="17" t="n">
        <x:v>367.5</x:v>
      </x:c>
      <x:c r="H93" s="14" t="str">
        <x:v>per service</x:v>
      </x:c>
      <x:c r="I93" s="14" t="str">
        <x:v>Inclusive of 5% VAT</x:v>
      </x:c>
      <x:c r="J93" s="19" t="str">
        <x:v>https://bedashingbeauty.com/service/hair/</x:v>
      </x:c>
      <x:c r="K93" s="14" t="str">
        <x:v>2026-09-03</x:v>
      </x:c>
      <x:c r="L93" s="14" t="str">
        <x:v>Official Bedashing website</x:v>
      </x:c>
      <x:c r="M93" s="14" t="str">
        <x:v>OK</x:v>
      </x:c>
      <x:c r="N93" s="20" t="str"/>
    </x:row>
    <x:row r="94" ht="15" hidden="0" customHeight="1">
      <x:c r="A94" s="14" t="str">
        <x:v>SVC-0093</x:v>
      </x:c>
      <x:c r="B94" s="14" t="str">
        <x:v>Hair</x:v>
      </x:c>
      <x:c r="C94" s="14" t="str">
        <x:v>Hair Treatments</x:v>
      </x:c>
      <x:c r="D94" s="14" t="str">
        <x:v>Balmain Signature Hair Spa</x:v>
      </x:c>
      <x:c r="E94" s="14" t="str">
        <x:v>Short</x:v>
      </x:c>
      <x:c r="F94" s="18" t="n">
        <x:v>30</x:v>
      </x:c>
      <x:c r="G94" s="17" t="n">
        <x:v>262.5</x:v>
      </x:c>
      <x:c r="H94" s="14" t="str">
        <x:v>per service</x:v>
      </x:c>
      <x:c r="I94" s="14" t="str">
        <x:v>Inclusive of 5% VAT</x:v>
      </x:c>
      <x:c r="J94" s="19" t="str">
        <x:v>https://bedashingbeauty.com/service/hair/</x:v>
      </x:c>
      <x:c r="K94" s="14" t="str">
        <x:v>2026-09-03</x:v>
      </x:c>
      <x:c r="L94" s="14" t="str">
        <x:v>Official Bedashing website</x:v>
      </x:c>
      <x:c r="M94" s="14" t="str">
        <x:v>OK</x:v>
      </x:c>
      <x:c r="N94" s="20" t="str"/>
    </x:row>
    <x:row r="95" ht="15" hidden="0" customHeight="1">
      <x:c r="A95" s="14" t="str">
        <x:v>SVC-0094</x:v>
      </x:c>
      <x:c r="B95" s="14" t="str">
        <x:v>Hair</x:v>
      </x:c>
      <x:c r="C95" s="14" t="str">
        <x:v>Hair Treatments</x:v>
      </x:c>
      <x:c r="D95" s="14" t="str">
        <x:v>Balmain Signature Hair Spa</x:v>
      </x:c>
      <x:c r="E95" s="14" t="str">
        <x:v>Medium</x:v>
      </x:c>
      <x:c r="F95" s="18" t="n">
        <x:v>30</x:v>
      </x:c>
      <x:c r="G95" s="17" t="n">
        <x:v>315</x:v>
      </x:c>
      <x:c r="H95" s="14" t="str">
        <x:v>per service</x:v>
      </x:c>
      <x:c r="I95" s="14" t="str">
        <x:v>Inclusive of 5% VAT</x:v>
      </x:c>
      <x:c r="J95" s="19" t="str">
        <x:v>https://bedashingbeauty.com/service/hair/</x:v>
      </x:c>
      <x:c r="K95" s="14" t="str">
        <x:v>2026-09-03</x:v>
      </x:c>
      <x:c r="L95" s="14" t="str">
        <x:v>Official Bedashing website</x:v>
      </x:c>
      <x:c r="M95" s="14" t="str">
        <x:v>OK</x:v>
      </x:c>
      <x:c r="N95" s="20" t="str"/>
    </x:row>
    <x:row r="96" ht="15" hidden="0" customHeight="1">
      <x:c r="A96" s="14" t="str">
        <x:v>SVC-0095</x:v>
      </x:c>
      <x:c r="B96" s="14" t="str">
        <x:v>Hair</x:v>
      </x:c>
      <x:c r="C96" s="14" t="str">
        <x:v>Hair Treatments</x:v>
      </x:c>
      <x:c r="D96" s="14" t="str">
        <x:v>Balmain Signature Hair Spa</x:v>
      </x:c>
      <x:c r="E96" s="14" t="str">
        <x:v>Long</x:v>
      </x:c>
      <x:c r="F96" s="18" t="n">
        <x:v>30</x:v>
      </x:c>
      <x:c r="G96" s="17" t="n">
        <x:v>367.5</x:v>
      </x:c>
      <x:c r="H96" s="14" t="str">
        <x:v>per service</x:v>
      </x:c>
      <x:c r="I96" s="14" t="str">
        <x:v>Inclusive of 5% VAT</x:v>
      </x:c>
      <x:c r="J96" s="19" t="str">
        <x:v>https://bedashingbeauty.com/service/hair/</x:v>
      </x:c>
      <x:c r="K96" s="14" t="str">
        <x:v>2026-09-03</x:v>
      </x:c>
      <x:c r="L96" s="14" t="str">
        <x:v>Official Bedashing website</x:v>
      </x:c>
      <x:c r="M96" s="14" t="str">
        <x:v>OK</x:v>
      </x:c>
      <x:c r="N96" s="20" t="str"/>
    </x:row>
    <x:row r="97" ht="15" hidden="0" customHeight="1">
      <x:c r="A97" s="14" t="str">
        <x:v>SVC-0096</x:v>
      </x:c>
      <x:c r="B97" s="14" t="str">
        <x:v>Hair</x:v>
      </x:c>
      <x:c r="C97" s="14" t="str">
        <x:v>Hair Treatments</x:v>
      </x:c>
      <x:c r="D97" s="14" t="str">
        <x:v>Discipline Treatment</x:v>
      </x:c>
      <x:c r="E97" s="14" t="str">
        <x:v>Short</x:v>
      </x:c>
      <x:c r="F97" s="18" t="n">
        <x:v>30</x:v>
      </x:c>
      <x:c r="G97" s="17" t="n">
        <x:v>577.5</x:v>
      </x:c>
      <x:c r="H97" s="14" t="str">
        <x:v>per service</x:v>
      </x:c>
      <x:c r="I97" s="14" t="str">
        <x:v>Inclusive of 5% VAT</x:v>
      </x:c>
      <x:c r="J97" s="19" t="str">
        <x:v>https://bedashingbeauty.com/service/hair/</x:v>
      </x:c>
      <x:c r="K97" s="14" t="str">
        <x:v>2026-09-03</x:v>
      </x:c>
      <x:c r="L97" s="14" t="str">
        <x:v>Official Bedashing website</x:v>
      </x:c>
      <x:c r="M97" s="14" t="str">
        <x:v>OK</x:v>
      </x:c>
      <x:c r="N97" s="20" t="str"/>
    </x:row>
    <x:row r="98" ht="15" hidden="0" customHeight="1">
      <x:c r="A98" s="14" t="str">
        <x:v>SVC-0097</x:v>
      </x:c>
      <x:c r="B98" s="14" t="str">
        <x:v>Hair</x:v>
      </x:c>
      <x:c r="C98" s="14" t="str">
        <x:v>Hair Treatments</x:v>
      </x:c>
      <x:c r="D98" s="14" t="str">
        <x:v>Discipline Treatment</x:v>
      </x:c>
      <x:c r="E98" s="14" t="str">
        <x:v>Medium</x:v>
      </x:c>
      <x:c r="F98" s="18" t="n">
        <x:v>35</x:v>
      </x:c>
      <x:c r="G98" s="17" t="n">
        <x:v>661.5</x:v>
      </x:c>
      <x:c r="H98" s="14" t="str">
        <x:v>per service</x:v>
      </x:c>
      <x:c r="I98" s="14" t="str">
        <x:v>Inclusive of 5% VAT</x:v>
      </x:c>
      <x:c r="J98" s="19" t="str">
        <x:v>https://bedashingbeauty.com/service/hair/</x:v>
      </x:c>
      <x:c r="K98" s="14" t="str">
        <x:v>2026-09-03</x:v>
      </x:c>
      <x:c r="L98" s="14" t="str">
        <x:v>Official Bedashing website</x:v>
      </x:c>
      <x:c r="M98" s="14" t="str">
        <x:v>OK</x:v>
      </x:c>
      <x:c r="N98" s="20" t="str"/>
    </x:row>
    <x:row r="99" ht="15" hidden="0" customHeight="1">
      <x:c r="A99" s="14" t="str">
        <x:v>SVC-0098</x:v>
      </x:c>
      <x:c r="B99" s="14" t="str">
        <x:v>Hair</x:v>
      </x:c>
      <x:c r="C99" s="14" t="str">
        <x:v>Hair Treatments</x:v>
      </x:c>
      <x:c r="D99" s="14" t="str">
        <x:v>Discipline Treatment</x:v>
      </x:c>
      <x:c r="E99" s="14" t="str">
        <x:v>Long</x:v>
      </x:c>
      <x:c r="F99" s="18" t="n">
        <x:v>40</x:v>
      </x:c>
      <x:c r="G99" s="17" t="n">
        <x:v>761.25</x:v>
      </x:c>
      <x:c r="H99" s="14" t="str">
        <x:v>per service</x:v>
      </x:c>
      <x:c r="I99" s="14" t="str">
        <x:v>Inclusive of 5% VAT</x:v>
      </x:c>
      <x:c r="J99" s="19" t="str">
        <x:v>https://bedashingbeauty.com/service/hair/</x:v>
      </x:c>
      <x:c r="K99" s="14" t="str">
        <x:v>2026-09-03</x:v>
      </x:c>
      <x:c r="L99" s="14" t="str">
        <x:v>Official Bedashing website</x:v>
      </x:c>
      <x:c r="M99" s="14" t="str">
        <x:v>OK</x:v>
      </x:c>
      <x:c r="N99" s="20" t="str"/>
    </x:row>
    <x:row r="100" ht="15" hidden="0" customHeight="1">
      <x:c r="A100" s="14" t="str">
        <x:v>SVC-0099</x:v>
      </x:c>
      <x:c r="B100" s="14" t="str">
        <x:v>Hair</x:v>
      </x:c>
      <x:c r="C100" s="14" t="str">
        <x:v>Hair Treatments</x:v>
      </x:c>
      <x:c r="D100" s="14" t="str">
        <x:v>Extentioniste</x:v>
      </x:c>
      <x:c r="E100" s="14" t="str">
        <x:v>Short</x:v>
      </x:c>
      <x:c r="F100" s="18" t="n">
        <x:v>30</x:v>
      </x:c>
      <x:c r="G100" s="17" t="n">
        <x:v>393.75</x:v>
      </x:c>
      <x:c r="H100" s="14" t="str">
        <x:v>per service</x:v>
      </x:c>
      <x:c r="I100" s="14" t="str">
        <x:v>Inclusive of 5% VAT</x:v>
      </x:c>
      <x:c r="J100" s="19" t="str">
        <x:v>https://bedashingbeauty.com/service/hair/</x:v>
      </x:c>
      <x:c r="K100" s="14" t="str">
        <x:v>2026-09-03</x:v>
      </x:c>
      <x:c r="L100" s="14" t="str">
        <x:v>Official Bedashing website</x:v>
      </x:c>
      <x:c r="M100" s="14" t="str">
        <x:v>OK</x:v>
      </x:c>
      <x:c r="N100" s="20" t="str"/>
    </x:row>
    <x:row r="101" ht="15" hidden="0" customHeight="1">
      <x:c r="A101" s="14" t="str">
        <x:v>SVC-0100</x:v>
      </x:c>
      <x:c r="B101" s="14" t="str">
        <x:v>Hair</x:v>
      </x:c>
      <x:c r="C101" s="14" t="str">
        <x:v>Hair Treatments</x:v>
      </x:c>
      <x:c r="D101" s="14" t="str">
        <x:v>Extentioniste</x:v>
      </x:c>
      <x:c r="E101" s="14" t="str">
        <x:v>Medium</x:v>
      </x:c>
      <x:c r="F101" s="18" t="n">
        <x:v>35</x:v>
      </x:c>
      <x:c r="G101" s="17" t="n">
        <x:v>451.5</x:v>
      </x:c>
      <x:c r="H101" s="14" t="str">
        <x:v>per service</x:v>
      </x:c>
      <x:c r="I101" s="14" t="str">
        <x:v>Inclusive of 5% VAT</x:v>
      </x:c>
      <x:c r="J101" s="19" t="str">
        <x:v>https://bedashingbeauty.com/service/hair/</x:v>
      </x:c>
      <x:c r="K101" s="14" t="str">
        <x:v>2026-09-03</x:v>
      </x:c>
      <x:c r="L101" s="14" t="str">
        <x:v>Official Bedashing website</x:v>
      </x:c>
      <x:c r="M101" s="14" t="str">
        <x:v>OK</x:v>
      </x:c>
      <x:c r="N101" s="20" t="str"/>
    </x:row>
    <x:row r="102" ht="15" hidden="0" customHeight="1">
      <x:c r="A102" s="14" t="str">
        <x:v>SVC-0101</x:v>
      </x:c>
      <x:c r="B102" s="14" t="str">
        <x:v>Hair</x:v>
      </x:c>
      <x:c r="C102" s="14" t="str">
        <x:v>Hair Treatments</x:v>
      </x:c>
      <x:c r="D102" s="14" t="str">
        <x:v>Extentioniste</x:v>
      </x:c>
      <x:c r="E102" s="14" t="str">
        <x:v>Long</x:v>
      </x:c>
      <x:c r="F102" s="18" t="n">
        <x:v>40</x:v>
      </x:c>
      <x:c r="G102" s="17" t="n">
        <x:v>514.5</x:v>
      </x:c>
      <x:c r="H102" s="14" t="str">
        <x:v>per service</x:v>
      </x:c>
      <x:c r="I102" s="14" t="str">
        <x:v>Inclusive of 5% VAT</x:v>
      </x:c>
      <x:c r="J102" s="19" t="str">
        <x:v>https://bedashingbeauty.com/service/hair/</x:v>
      </x:c>
      <x:c r="K102" s="14" t="str">
        <x:v>2026-09-03</x:v>
      </x:c>
      <x:c r="L102" s="14" t="str">
        <x:v>Official Bedashing website</x:v>
      </x:c>
      <x:c r="M102" s="14" t="str">
        <x:v>OK</x:v>
      </x:c>
      <x:c r="N102" s="20" t="str"/>
    </x:row>
    <x:row r="103" ht="15" hidden="0" customHeight="1">
      <x:c r="A103" s="14" t="str">
        <x:v>SVC-0102</x:v>
      </x:c>
      <x:c r="B103" s="14" t="str">
        <x:v>Hair</x:v>
      </x:c>
      <x:c r="C103" s="14" t="str">
        <x:v>Hair Treatments</x:v>
      </x:c>
      <x:c r="D103" s="14" t="str">
        <x:v>Kerastase Reflection Treatment</x:v>
      </x:c>
      <x:c r="E103" s="14" t="str">
        <x:v>Short</x:v>
      </x:c>
      <x:c r="F103" s="18" t="n">
        <x:v>30</x:v>
      </x:c>
      <x:c r="G103" s="17" t="n">
        <x:v>210</x:v>
      </x:c>
      <x:c r="H103" s="14" t="str">
        <x:v>per service</x:v>
      </x:c>
      <x:c r="I103" s="14" t="str">
        <x:v>Inclusive of 5% VAT</x:v>
      </x:c>
      <x:c r="J103" s="19" t="str">
        <x:v>https://bedashingbeauty.com/service/hair/</x:v>
      </x:c>
      <x:c r="K103" s="14" t="str">
        <x:v>2026-09-03</x:v>
      </x:c>
      <x:c r="L103" s="14" t="str">
        <x:v>Official Bedashing website</x:v>
      </x:c>
      <x:c r="M103" s="14" t="str">
        <x:v>OK</x:v>
      </x:c>
      <x:c r="N103" s="20" t="str"/>
    </x:row>
    <x:row r="104" ht="15" hidden="0" customHeight="1">
      <x:c r="A104" s="14" t="str">
        <x:v>SVC-0103</x:v>
      </x:c>
      <x:c r="B104" s="14" t="str">
        <x:v>Hair</x:v>
      </x:c>
      <x:c r="C104" s="14" t="str">
        <x:v>Hair Treatments</x:v>
      </x:c>
      <x:c r="D104" s="14" t="str">
        <x:v>Kerastase Reflection Treatment</x:v>
      </x:c>
      <x:c r="E104" s="14" t="str">
        <x:v>Medium</x:v>
      </x:c>
      <x:c r="F104" s="18" t="n">
        <x:v>35</x:v>
      </x:c>
      <x:c r="G104" s="17" t="n">
        <x:v>241.5</x:v>
      </x:c>
      <x:c r="H104" s="14" t="str">
        <x:v>per service</x:v>
      </x:c>
      <x:c r="I104" s="14" t="str">
        <x:v>Inclusive of 5% VAT</x:v>
      </x:c>
      <x:c r="J104" s="19" t="str">
        <x:v>https://bedashingbeauty.com/service/hair/</x:v>
      </x:c>
      <x:c r="K104" s="14" t="str">
        <x:v>2026-09-03</x:v>
      </x:c>
      <x:c r="L104" s="14" t="str">
        <x:v>Official Bedashing website</x:v>
      </x:c>
      <x:c r="M104" s="14" t="str">
        <x:v>OK</x:v>
      </x:c>
      <x:c r="N104" s="20" t="str"/>
    </x:row>
    <x:row r="105" ht="15" hidden="0" customHeight="1">
      <x:c r="A105" s="14" t="str">
        <x:v>SVC-0104</x:v>
      </x:c>
      <x:c r="B105" s="14" t="str">
        <x:v>Hair</x:v>
      </x:c>
      <x:c r="C105" s="14" t="str">
        <x:v>Hair Treatments</x:v>
      </x:c>
      <x:c r="D105" s="14" t="str">
        <x:v>Kerastase Reflection Treatment</x:v>
      </x:c>
      <x:c r="E105" s="14" t="str">
        <x:v>Long</x:v>
      </x:c>
      <x:c r="F105" s="18" t="n">
        <x:v>40</x:v>
      </x:c>
      <x:c r="G105" s="17" t="n">
        <x:v>273</x:v>
      </x:c>
      <x:c r="H105" s="14" t="str">
        <x:v>per service</x:v>
      </x:c>
      <x:c r="I105" s="14" t="str">
        <x:v>Inclusive of 5% VAT</x:v>
      </x:c>
      <x:c r="J105" s="19" t="str">
        <x:v>https://bedashingbeauty.com/service/hair/</x:v>
      </x:c>
      <x:c r="K105" s="14" t="str">
        <x:v>2026-09-03</x:v>
      </x:c>
      <x:c r="L105" s="14" t="str">
        <x:v>Official Bedashing website</x:v>
      </x:c>
      <x:c r="M105" s="14" t="str">
        <x:v>OK</x:v>
      </x:c>
      <x:c r="N105" s="20" t="str"/>
    </x:row>
    <x:row r="106" ht="15" hidden="0" customHeight="1">
      <x:c r="A106" s="14" t="str">
        <x:v>SVC-0105</x:v>
      </x:c>
      <x:c r="B106" s="14" t="str">
        <x:v>Hair</x:v>
      </x:c>
      <x:c r="C106" s="14" t="str">
        <x:v>Hair Treatments</x:v>
      </x:c>
      <x:c r="D106" s="14" t="str">
        <x:v>Nutritive Majistral Treatment</x:v>
      </x:c>
      <x:c r="E106" s="14" t="str">
        <x:v>Short</x:v>
      </x:c>
      <x:c r="F106" s="18" t="n">
        <x:v>30</x:v>
      </x:c>
      <x:c r="G106" s="17" t="n">
        <x:v>262.5</x:v>
      </x:c>
      <x:c r="H106" s="14" t="str">
        <x:v>per service</x:v>
      </x:c>
      <x:c r="I106" s="14" t="str">
        <x:v>Inclusive of 5% VAT</x:v>
      </x:c>
      <x:c r="J106" s="19" t="str">
        <x:v>https://bedashingbeauty.com/service/hair/</x:v>
      </x:c>
      <x:c r="K106" s="14" t="str">
        <x:v>2026-09-03</x:v>
      </x:c>
      <x:c r="L106" s="14" t="str">
        <x:v>Official Bedashing website</x:v>
      </x:c>
      <x:c r="M106" s="14" t="str">
        <x:v>OK</x:v>
      </x:c>
      <x:c r="N106" s="20" t="str"/>
    </x:row>
    <x:row r="107" ht="15" hidden="0" customHeight="1">
      <x:c r="A107" s="14" t="str">
        <x:v>SVC-0106</x:v>
      </x:c>
      <x:c r="B107" s="14" t="str">
        <x:v>Hair</x:v>
      </x:c>
      <x:c r="C107" s="14" t="str">
        <x:v>Hair Treatments</x:v>
      </x:c>
      <x:c r="D107" s="14" t="str">
        <x:v>Nutritive Majistral Treatment</x:v>
      </x:c>
      <x:c r="E107" s="14" t="str">
        <x:v>Medium</x:v>
      </x:c>
      <x:c r="F107" s="18" t="n">
        <x:v>35</x:v>
      </x:c>
      <x:c r="G107" s="17" t="n">
        <x:v>304.5</x:v>
      </x:c>
      <x:c r="H107" s="14" t="str">
        <x:v>per service</x:v>
      </x:c>
      <x:c r="I107" s="14" t="str">
        <x:v>Inclusive of 5% VAT</x:v>
      </x:c>
      <x:c r="J107" s="19" t="str">
        <x:v>https://bedashingbeauty.com/service/hair/</x:v>
      </x:c>
      <x:c r="K107" s="14" t="str">
        <x:v>2026-09-03</x:v>
      </x:c>
      <x:c r="L107" s="14" t="str">
        <x:v>Official Bedashing website</x:v>
      </x:c>
      <x:c r="M107" s="14" t="str">
        <x:v>OK</x:v>
      </x:c>
      <x:c r="N107" s="20" t="str"/>
    </x:row>
    <x:row r="108" ht="15" hidden="0" customHeight="1">
      <x:c r="A108" s="14" t="str">
        <x:v>SVC-0107</x:v>
      </x:c>
      <x:c r="B108" s="14" t="str">
        <x:v>Hair</x:v>
      </x:c>
      <x:c r="C108" s="14" t="str">
        <x:v>Hair Treatments</x:v>
      </x:c>
      <x:c r="D108" s="14" t="str">
        <x:v>Nutritive Majistral Treatment</x:v>
      </x:c>
      <x:c r="E108" s="14" t="str">
        <x:v>Long</x:v>
      </x:c>
      <x:c r="F108" s="18" t="n">
        <x:v>40</x:v>
      </x:c>
      <x:c r="G108" s="17" t="n">
        <x:v>346.5</x:v>
      </x:c>
      <x:c r="H108" s="14" t="str">
        <x:v>per service</x:v>
      </x:c>
      <x:c r="I108" s="14" t="str">
        <x:v>Inclusive of 5% VAT</x:v>
      </x:c>
      <x:c r="J108" s="19" t="str">
        <x:v>https://bedashingbeauty.com/service/hair/</x:v>
      </x:c>
      <x:c r="K108" s="14" t="str">
        <x:v>2026-09-03</x:v>
      </x:c>
      <x:c r="L108" s="14" t="str">
        <x:v>Official Bedashing website</x:v>
      </x:c>
      <x:c r="M108" s="14" t="str">
        <x:v>OK</x:v>
      </x:c>
      <x:c r="N108" s="20" t="str"/>
    </x:row>
    <x:row r="109" ht="15" hidden="0" customHeight="1">
      <x:c r="A109" s="14" t="str">
        <x:v>SVC-0108</x:v>
      </x:c>
      <x:c r="B109" s="14" t="str">
        <x:v>Hair</x:v>
      </x:c>
      <x:c r="C109" s="14" t="str">
        <x:v>Hair Treatments</x:v>
      </x:c>
      <x:c r="D109" s="14" t="str">
        <x:v>Tokio Inkarami</x:v>
      </x:c>
      <x:c r="E109" s="14" t="str">
        <x:v>Short</x:v>
      </x:c>
      <x:c r="F109" s="18" t="n">
        <x:v>60</x:v>
      </x:c>
      <x:c r="G109" s="17" t="n">
        <x:v>577.5</x:v>
      </x:c>
      <x:c r="H109" s="14" t="str">
        <x:v>per service</x:v>
      </x:c>
      <x:c r="I109" s="14" t="str">
        <x:v>Inclusive of 5% VAT</x:v>
      </x:c>
      <x:c r="J109" s="19" t="str">
        <x:v>https://bedashingbeauty.com/service/hair/</x:v>
      </x:c>
      <x:c r="K109" s="14" t="str">
        <x:v>2026-09-03</x:v>
      </x:c>
      <x:c r="L109" s="14" t="str">
        <x:v>Official Bedashing website</x:v>
      </x:c>
      <x:c r="M109" s="14" t="str">
        <x:v>OK</x:v>
      </x:c>
      <x:c r="N109" s="20" t="str"/>
    </x:row>
    <x:row r="110" ht="15" hidden="0" customHeight="1">
      <x:c r="A110" s="14" t="str">
        <x:v>SVC-0109</x:v>
      </x:c>
      <x:c r="B110" s="14" t="str">
        <x:v>Hair</x:v>
      </x:c>
      <x:c r="C110" s="14" t="str">
        <x:v>Hair Treatments</x:v>
      </x:c>
      <x:c r="D110" s="14" t="str">
        <x:v>Tokio Inkarami</x:v>
      </x:c>
      <x:c r="E110" s="14" t="str">
        <x:v>Medium</x:v>
      </x:c>
      <x:c r="F110" s="18" t="n">
        <x:v>70</x:v>
      </x:c>
      <x:c r="G110" s="17" t="n">
        <x:v>682.5</x:v>
      </x:c>
      <x:c r="H110" s="14" t="str">
        <x:v>per service</x:v>
      </x:c>
      <x:c r="I110" s="14" t="str">
        <x:v>Inclusive of 5% VAT</x:v>
      </x:c>
      <x:c r="J110" s="19" t="str">
        <x:v>https://bedashingbeauty.com/service/hair/</x:v>
      </x:c>
      <x:c r="K110" s="14" t="str">
        <x:v>2026-09-03</x:v>
      </x:c>
      <x:c r="L110" s="14" t="str">
        <x:v>Official Bedashing website</x:v>
      </x:c>
      <x:c r="M110" s="14" t="str">
        <x:v>OK</x:v>
      </x:c>
      <x:c r="N110" s="20" t="str"/>
    </x:row>
    <x:row r="111" ht="15" hidden="0" customHeight="1">
      <x:c r="A111" s="14" t="str">
        <x:v>SVC-0110</x:v>
      </x:c>
      <x:c r="B111" s="14" t="str">
        <x:v>Hair</x:v>
      </x:c>
      <x:c r="C111" s="14" t="str">
        <x:v>Hair Treatments</x:v>
      </x:c>
      <x:c r="D111" s="14" t="str">
        <x:v>Tokio Inkarami</x:v>
      </x:c>
      <x:c r="E111" s="14" t="str">
        <x:v>Long</x:v>
      </x:c>
      <x:c r="F111" s="18" t="n">
        <x:v>90</x:v>
      </x:c>
      <x:c r="G111" s="17" t="n">
        <x:v>787.5</x:v>
      </x:c>
      <x:c r="H111" s="14" t="str">
        <x:v>per service</x:v>
      </x:c>
      <x:c r="I111" s="14" t="str">
        <x:v>Inclusive of 5% VAT</x:v>
      </x:c>
      <x:c r="J111" s="19" t="str">
        <x:v>https://bedashingbeauty.com/service/hair/</x:v>
      </x:c>
      <x:c r="K111" s="14" t="str">
        <x:v>2026-09-03</x:v>
      </x:c>
      <x:c r="L111" s="14" t="str">
        <x:v>Official Bedashing website</x:v>
      </x:c>
      <x:c r="M111" s="14" t="str">
        <x:v>OK</x:v>
      </x:c>
      <x:c r="N111" s="20" t="str"/>
    </x:row>
    <x:row r="112" ht="15" hidden="0" customHeight="1">
      <x:c r="A112" s="14" t="str">
        <x:v>SVC-0111</x:v>
      </x:c>
      <x:c r="B112" s="14" t="str">
        <x:v>Hair</x:v>
      </x:c>
      <x:c r="C112" s="14" t="str">
        <x:v>Hair Treatments</x:v>
      </x:c>
      <x:c r="D112" s="14" t="str">
        <x:v>KST Gloss Ritual</x:v>
      </x:c>
      <x:c r="E112" s="14" t="str">
        <x:v>Short</x:v>
      </x:c>
      <x:c r="F112" s="18" t="n">
        <x:v>20</x:v>
      </x:c>
      <x:c r="G112" s="17" t="n">
        <x:v>368</x:v>
      </x:c>
      <x:c r="H112" s="14" t="str">
        <x:v>per service</x:v>
      </x:c>
      <x:c r="I112" s="14" t="str">
        <x:v>Inclusive of 5% VAT</x:v>
      </x:c>
      <x:c r="J112" s="19" t="str">
        <x:v>https://bedashingbeauty.com/service/hair/</x:v>
      </x:c>
      <x:c r="K112" s="14" t="str">
        <x:v>2026-09-03</x:v>
      </x:c>
      <x:c r="L112" s="14" t="str">
        <x:v>Official Bedashing website</x:v>
      </x:c>
      <x:c r="M112" s="14" t="str">
        <x:v>OK</x:v>
      </x:c>
      <x:c r="N112" s="20" t="str"/>
    </x:row>
    <x:row r="113" ht="15" hidden="0" customHeight="1">
      <x:c r="A113" s="14" t="str">
        <x:v>SVC-0112</x:v>
      </x:c>
      <x:c r="B113" s="14" t="str">
        <x:v>Hair</x:v>
      </x:c>
      <x:c r="C113" s="14" t="str">
        <x:v>Hair Treatments</x:v>
      </x:c>
      <x:c r="D113" s="14" t="str">
        <x:v>KST Gloss Ritual</x:v>
      </x:c>
      <x:c r="E113" s="14" t="str">
        <x:v>Medium</x:v>
      </x:c>
      <x:c r="F113" s="18" t="n">
        <x:v>20</x:v>
      </x:c>
      <x:c r="G113" s="17" t="n">
        <x:v>383</x:v>
      </x:c>
      <x:c r="H113" s="14" t="str">
        <x:v>per service</x:v>
      </x:c>
      <x:c r="I113" s="14" t="str">
        <x:v>Inclusive of 5% VAT</x:v>
      </x:c>
      <x:c r="J113" s="19" t="str">
        <x:v>https://bedashingbeauty.com/service/hair/</x:v>
      </x:c>
      <x:c r="K113" s="14" t="str">
        <x:v>2026-09-03</x:v>
      </x:c>
      <x:c r="L113" s="14" t="str">
        <x:v>Official Bedashing website</x:v>
      </x:c>
      <x:c r="M113" s="14" t="str">
        <x:v>OK</x:v>
      </x:c>
      <x:c r="N113" s="20" t="str"/>
    </x:row>
    <x:row r="114" ht="15" hidden="0" customHeight="1">
      <x:c r="A114" s="14" t="str">
        <x:v>SVC-0113</x:v>
      </x:c>
      <x:c r="B114" s="14" t="str">
        <x:v>Hair</x:v>
      </x:c>
      <x:c r="C114" s="14" t="str">
        <x:v>Hair Treatments</x:v>
      </x:c>
      <x:c r="D114" s="14" t="str">
        <x:v>KST Gloss Ritual</x:v>
      </x:c>
      <x:c r="E114" s="14" t="str">
        <x:v>Long</x:v>
      </x:c>
      <x:c r="F114" s="18" t="n">
        <x:v>20</x:v>
      </x:c>
      <x:c r="G114" s="17" t="n">
        <x:v>399</x:v>
      </x:c>
      <x:c r="H114" s="14" t="str">
        <x:v>per service</x:v>
      </x:c>
      <x:c r="I114" s="14" t="str">
        <x:v>Inclusive of 5% VAT</x:v>
      </x:c>
      <x:c r="J114" s="19" t="str">
        <x:v>https://bedashingbeauty.com/service/hair/</x:v>
      </x:c>
      <x:c r="K114" s="14" t="str">
        <x:v>2026-09-03</x:v>
      </x:c>
      <x:c r="L114" s="14" t="str">
        <x:v>Official Bedashing website</x:v>
      </x:c>
      <x:c r="M114" s="14" t="str">
        <x:v>OK</x:v>
      </x:c>
      <x:c r="N114" s="20" t="str"/>
    </x:row>
    <x:row r="115" ht="15" hidden="0" customHeight="1">
      <x:c r="A115" s="14" t="str">
        <x:v>SVC-0114</x:v>
      </x:c>
      <x:c r="B115" s="14" t="str">
        <x:v>Hair</x:v>
      </x:c>
      <x:c r="C115" s="14" t="str">
        <x:v>Philip Martins Hair Treatment</x:v>
      </x:c>
      <x:c r="D115" s="14" t="str">
        <x:v>Healthy Scalp Calming</x:v>
      </x:c>
      <x:c r="E115" s="14" t="str">
        <x:v>Short</x:v>
      </x:c>
      <x:c r="F115" s="18" t="n">
        <x:v>30</x:v>
      </x:c>
      <x:c r="G115" s="17" t="n">
        <x:v>260</x:v>
      </x:c>
      <x:c r="H115" s="14" t="str">
        <x:v>per service</x:v>
      </x:c>
      <x:c r="I115" s="14" t="str">
        <x:v>Inclusive of 5% VAT</x:v>
      </x:c>
      <x:c r="J115" s="19" t="str">
        <x:v>https://bedashingbeauty.com/service/hair/</x:v>
      </x:c>
      <x:c r="K115" s="14" t="str">
        <x:v>2026-09-03</x:v>
      </x:c>
      <x:c r="L115" s="14" t="str">
        <x:v>Official Bedashing website</x:v>
      </x:c>
      <x:c r="M115" s="14" t="str">
        <x:v>OK</x:v>
      </x:c>
      <x:c r="N115" s="20" t="str"/>
    </x:row>
    <x:row r="116" ht="15" hidden="0" customHeight="1">
      <x:c r="A116" s="14" t="str">
        <x:v>SVC-0115</x:v>
      </x:c>
      <x:c r="B116" s="14" t="str">
        <x:v>Hair</x:v>
      </x:c>
      <x:c r="C116" s="14" t="str">
        <x:v>Philip Martins Hair Treatment</x:v>
      </x:c>
      <x:c r="D116" s="14" t="str">
        <x:v>Healthy Scalp Calming</x:v>
      </x:c>
      <x:c r="E116" s="14" t="str">
        <x:v>Medium</x:v>
      </x:c>
      <x:c r="F116" s="18" t="n">
        <x:v>30</x:v>
      </x:c>
      <x:c r="G116" s="17" t="n">
        <x:v>290</x:v>
      </x:c>
      <x:c r="H116" s="14" t="str">
        <x:v>per service</x:v>
      </x:c>
      <x:c r="I116" s="14" t="str">
        <x:v>Inclusive of 5% VAT</x:v>
      </x:c>
      <x:c r="J116" s="19" t="str">
        <x:v>https://bedashingbeauty.com/service/hair/</x:v>
      </x:c>
      <x:c r="K116" s="14" t="str">
        <x:v>2026-09-03</x:v>
      </x:c>
      <x:c r="L116" s="14" t="str">
        <x:v>Official Bedashing website</x:v>
      </x:c>
      <x:c r="M116" s="14" t="str">
        <x:v>OK</x:v>
      </x:c>
      <x:c r="N116" s="20" t="str"/>
    </x:row>
    <x:row r="117" ht="15" hidden="0" customHeight="1">
      <x:c r="A117" s="14" t="str">
        <x:v>SVC-0116</x:v>
      </x:c>
      <x:c r="B117" s="14" t="str">
        <x:v>Hair</x:v>
      </x:c>
      <x:c r="C117" s="14" t="str">
        <x:v>Philip Martins Hair Treatment</x:v>
      </x:c>
      <x:c r="D117" s="14" t="str">
        <x:v>Healthy Scalp Calming</x:v>
      </x:c>
      <x:c r="E117" s="14" t="str">
        <x:v>Long</x:v>
      </x:c>
      <x:c r="F117" s="18" t="n">
        <x:v>30</x:v>
      </x:c>
      <x:c r="G117" s="17" t="n">
        <x:v>320</x:v>
      </x:c>
      <x:c r="H117" s="14" t="str">
        <x:v>per service</x:v>
      </x:c>
      <x:c r="I117" s="14" t="str">
        <x:v>Inclusive of 5% VAT</x:v>
      </x:c>
      <x:c r="J117" s="19" t="str">
        <x:v>https://bedashingbeauty.com/service/hair/</x:v>
      </x:c>
      <x:c r="K117" s="14" t="str">
        <x:v>2026-09-03</x:v>
      </x:c>
      <x:c r="L117" s="14" t="str">
        <x:v>Official Bedashing website</x:v>
      </x:c>
      <x:c r="M117" s="14" t="str">
        <x:v>OK</x:v>
      </x:c>
      <x:c r="N117" s="20" t="str"/>
    </x:row>
    <x:row r="118" ht="15" hidden="0" customHeight="1">
      <x:c r="A118" s="14" t="str">
        <x:v>SVC-0117</x:v>
      </x:c>
      <x:c r="B118" s="14" t="str">
        <x:v>Hair</x:v>
      </x:c>
      <x:c r="C118" s="14" t="str">
        <x:v>Philip Martins Hair Treatment</x:v>
      </x:c>
      <x:c r="D118" s="14" t="str">
        <x:v>Anti Hair Loss</x:v>
      </x:c>
      <x:c r="E118" s="14" t="str">
        <x:v>Short</x:v>
      </x:c>
      <x:c r="F118" s="18" t="n">
        <x:v>30</x:v>
      </x:c>
      <x:c r="G118" s="17" t="n">
        <x:v>260</x:v>
      </x:c>
      <x:c r="H118" s="14" t="str">
        <x:v>per service</x:v>
      </x:c>
      <x:c r="I118" s="14" t="str">
        <x:v>Inclusive of 5% VAT</x:v>
      </x:c>
      <x:c r="J118" s="19" t="str">
        <x:v>https://bedashingbeauty.com/service/hair/</x:v>
      </x:c>
      <x:c r="K118" s="14" t="str">
        <x:v>2026-09-03</x:v>
      </x:c>
      <x:c r="L118" s="14" t="str">
        <x:v>Official Bedashing website</x:v>
      </x:c>
      <x:c r="M118" s="14" t="str">
        <x:v>OK</x:v>
      </x:c>
      <x:c r="N118" s="20" t="str"/>
    </x:row>
    <x:row r="119" ht="15" hidden="0" customHeight="1">
      <x:c r="A119" s="14" t="str">
        <x:v>SVC-0118</x:v>
      </x:c>
      <x:c r="B119" s="14" t="str">
        <x:v>Hair</x:v>
      </x:c>
      <x:c r="C119" s="14" t="str">
        <x:v>Philip Martins Hair Treatment</x:v>
      </x:c>
      <x:c r="D119" s="14" t="str">
        <x:v>Anti Hair Loss</x:v>
      </x:c>
      <x:c r="E119" s="14" t="str">
        <x:v>Medium</x:v>
      </x:c>
      <x:c r="F119" s="18" t="n">
        <x:v>30</x:v>
      </x:c>
      <x:c r="G119" s="17" t="n">
        <x:v>290</x:v>
      </x:c>
      <x:c r="H119" s="14" t="str">
        <x:v>per service</x:v>
      </x:c>
      <x:c r="I119" s="14" t="str">
        <x:v>Inclusive of 5% VAT</x:v>
      </x:c>
      <x:c r="J119" s="19" t="str">
        <x:v>https://bedashingbeauty.com/service/hair/</x:v>
      </x:c>
      <x:c r="K119" s="14" t="str">
        <x:v>2026-09-03</x:v>
      </x:c>
      <x:c r="L119" s="14" t="str">
        <x:v>Official Bedashing website</x:v>
      </x:c>
      <x:c r="M119" s="14" t="str">
        <x:v>OK</x:v>
      </x:c>
      <x:c r="N119" s="20" t="str"/>
    </x:row>
    <x:row r="120" ht="15" hidden="0" customHeight="1">
      <x:c r="A120" s="14" t="str">
        <x:v>SVC-0119</x:v>
      </x:c>
      <x:c r="B120" s="14" t="str">
        <x:v>Hair</x:v>
      </x:c>
      <x:c r="C120" s="14" t="str">
        <x:v>Philip Martins Hair Treatment</x:v>
      </x:c>
      <x:c r="D120" s="14" t="str">
        <x:v>Anti Hair Loss</x:v>
      </x:c>
      <x:c r="E120" s="14" t="str">
        <x:v>Long</x:v>
      </x:c>
      <x:c r="F120" s="18" t="n">
        <x:v>30</x:v>
      </x:c>
      <x:c r="G120" s="17" t="n">
        <x:v>320</x:v>
      </x:c>
      <x:c r="H120" s="14" t="str">
        <x:v>per service</x:v>
      </x:c>
      <x:c r="I120" s="14" t="str">
        <x:v>Inclusive of 5% VAT</x:v>
      </x:c>
      <x:c r="J120" s="19" t="str">
        <x:v>https://bedashingbeauty.com/service/hair/</x:v>
      </x:c>
      <x:c r="K120" s="14" t="str">
        <x:v>2026-09-03</x:v>
      </x:c>
      <x:c r="L120" s="14" t="str">
        <x:v>Official Bedashing website</x:v>
      </x:c>
      <x:c r="M120" s="14" t="str">
        <x:v>OK</x:v>
      </x:c>
      <x:c r="N120" s="20" t="str"/>
    </x:row>
    <x:row r="121" ht="15" hidden="0" customHeight="1">
      <x:c r="A121" s="14" t="str">
        <x:v>SVC-0120</x:v>
      </x:c>
      <x:c r="B121" s="14" t="str">
        <x:v>Hair</x:v>
      </x:c>
      <x:c r="C121" s="14" t="str">
        <x:v>Philip Martins Hair Treatment</x:v>
      </x:c>
      <x:c r="D121" s="14" t="str">
        <x:v>Curly Hair</x:v>
      </x:c>
      <x:c r="E121" s="14" t="str">
        <x:v>Short</x:v>
      </x:c>
      <x:c r="F121" s="18" t="n">
        <x:v>30</x:v>
      </x:c>
      <x:c r="G121" s="17" t="n">
        <x:v>260</x:v>
      </x:c>
      <x:c r="H121" s="14" t="str">
        <x:v>per service</x:v>
      </x:c>
      <x:c r="I121" s="14" t="str">
        <x:v>Inclusive of 5% VAT</x:v>
      </x:c>
      <x:c r="J121" s="19" t="str">
        <x:v>https://bedashingbeauty.com/service/hair/</x:v>
      </x:c>
      <x:c r="K121" s="14" t="str">
        <x:v>2026-09-03</x:v>
      </x:c>
      <x:c r="L121" s="14" t="str">
        <x:v>Official Bedashing website</x:v>
      </x:c>
      <x:c r="M121" s="14" t="str">
        <x:v>OK</x:v>
      </x:c>
      <x:c r="N121" s="20" t="str"/>
    </x:row>
    <x:row r="122" ht="15" hidden="0" customHeight="1">
      <x:c r="A122" s="14" t="str">
        <x:v>SVC-0121</x:v>
      </x:c>
      <x:c r="B122" s="14" t="str">
        <x:v>Hair</x:v>
      </x:c>
      <x:c r="C122" s="14" t="str">
        <x:v>Philip Martins Hair Treatment</x:v>
      </x:c>
      <x:c r="D122" s="14" t="str">
        <x:v>Curly Hair</x:v>
      </x:c>
      <x:c r="E122" s="14" t="str">
        <x:v>Medium</x:v>
      </x:c>
      <x:c r="F122" s="18" t="n">
        <x:v>30</x:v>
      </x:c>
      <x:c r="G122" s="17" t="n">
        <x:v>290</x:v>
      </x:c>
      <x:c r="H122" s="14" t="str">
        <x:v>per service</x:v>
      </x:c>
      <x:c r="I122" s="14" t="str">
        <x:v>Inclusive of 5% VAT</x:v>
      </x:c>
      <x:c r="J122" s="19" t="str">
        <x:v>https://bedashingbeauty.com/service/hair/</x:v>
      </x:c>
      <x:c r="K122" s="14" t="str">
        <x:v>2026-09-03</x:v>
      </x:c>
      <x:c r="L122" s="14" t="str">
        <x:v>Official Bedashing website</x:v>
      </x:c>
      <x:c r="M122" s="14" t="str">
        <x:v>OK</x:v>
      </x:c>
      <x:c r="N122" s="20" t="str"/>
    </x:row>
    <x:row r="123" ht="15" hidden="0" customHeight="1">
      <x:c r="A123" s="14" t="str">
        <x:v>SVC-0122</x:v>
      </x:c>
      <x:c r="B123" s="14" t="str">
        <x:v>Hair</x:v>
      </x:c>
      <x:c r="C123" s="14" t="str">
        <x:v>Philip Martins Hair Treatment</x:v>
      </x:c>
      <x:c r="D123" s="14" t="str">
        <x:v>Curly Hair</x:v>
      </x:c>
      <x:c r="E123" s="14" t="str">
        <x:v>Long</x:v>
      </x:c>
      <x:c r="F123" s="18" t="n">
        <x:v>30</x:v>
      </x:c>
      <x:c r="G123" s="17" t="n">
        <x:v>320</x:v>
      </x:c>
      <x:c r="H123" s="14" t="str">
        <x:v>per service</x:v>
      </x:c>
      <x:c r="I123" s="14" t="str">
        <x:v>Inclusive of 5% VAT</x:v>
      </x:c>
      <x:c r="J123" s="19" t="str">
        <x:v>https://bedashingbeauty.com/service/hair/</x:v>
      </x:c>
      <x:c r="K123" s="14" t="str">
        <x:v>2026-09-03</x:v>
      </x:c>
      <x:c r="L123" s="14" t="str">
        <x:v>Official Bedashing website</x:v>
      </x:c>
      <x:c r="M123" s="14" t="str">
        <x:v>OK</x:v>
      </x:c>
      <x:c r="N123" s="20" t="str"/>
    </x:row>
    <x:row r="124" ht="15" hidden="0" customHeight="1">
      <x:c r="A124" s="14" t="str">
        <x:v>SVC-0123</x:v>
      </x:c>
      <x:c r="B124" s="14" t="str">
        <x:v>Hair</x:v>
      </x:c>
      <x:c r="C124" s="14" t="str">
        <x:v>Philip Martins Hair Treatment</x:v>
      </x:c>
      <x:c r="D124" s="14" t="str">
        <x:v>Re-Mersive (New Hair Life)</x:v>
      </x:c>
      <x:c r="E124" s="14" t="str">
        <x:v>Short</x:v>
      </x:c>
      <x:c r="F124" s="18" t="n">
        <x:v>45</x:v>
      </x:c>
      <x:c r="G124" s="17" t="n">
        <x:v>300</x:v>
      </x:c>
      <x:c r="H124" s="14" t="str">
        <x:v>per service</x:v>
      </x:c>
      <x:c r="I124" s="14" t="str">
        <x:v>Inclusive of 5% VAT</x:v>
      </x:c>
      <x:c r="J124" s="19" t="str">
        <x:v>https://bedashingbeauty.com/service/hair/</x:v>
      </x:c>
      <x:c r="K124" s="14" t="str">
        <x:v>2026-09-03</x:v>
      </x:c>
      <x:c r="L124" s="14" t="str">
        <x:v>Official Bedashing website</x:v>
      </x:c>
      <x:c r="M124" s="14" t="str">
        <x:v>OK</x:v>
      </x:c>
      <x:c r="N124" s="20" t="str"/>
    </x:row>
    <x:row r="125" ht="15" hidden="0" customHeight="1">
      <x:c r="A125" s="14" t="str">
        <x:v>SVC-0124</x:v>
      </x:c>
      <x:c r="B125" s="14" t="str">
        <x:v>Hair</x:v>
      </x:c>
      <x:c r="C125" s="14" t="str">
        <x:v>Philip Martins Hair Treatment</x:v>
      </x:c>
      <x:c r="D125" s="14" t="str">
        <x:v>Re-Mersive (New Hair Life)</x:v>
      </x:c>
      <x:c r="E125" s="14" t="str">
        <x:v>Medium</x:v>
      </x:c>
      <x:c r="F125" s="18" t="n">
        <x:v>45</x:v>
      </x:c>
      <x:c r="G125" s="17" t="n">
        <x:v>350</x:v>
      </x:c>
      <x:c r="H125" s="14" t="str">
        <x:v>per service</x:v>
      </x:c>
      <x:c r="I125" s="14" t="str">
        <x:v>Inclusive of 5% VAT</x:v>
      </x:c>
      <x:c r="J125" s="19" t="str">
        <x:v>https://bedashingbeauty.com/service/hair/</x:v>
      </x:c>
      <x:c r="K125" s="14" t="str">
        <x:v>2026-09-03</x:v>
      </x:c>
      <x:c r="L125" s="14" t="str">
        <x:v>Official Bedashing website</x:v>
      </x:c>
      <x:c r="M125" s="14" t="str">
        <x:v>OK</x:v>
      </x:c>
      <x:c r="N125" s="20" t="str"/>
    </x:row>
    <x:row r="126" ht="15" hidden="0" customHeight="1">
      <x:c r="A126" s="14" t="str">
        <x:v>SVC-0125</x:v>
      </x:c>
      <x:c r="B126" s="14" t="str">
        <x:v>Hair</x:v>
      </x:c>
      <x:c r="C126" s="14" t="str">
        <x:v>Philip Martins Hair Treatment</x:v>
      </x:c>
      <x:c r="D126" s="14" t="str">
        <x:v>Re-Mersive (New Hair Life)</x:v>
      </x:c>
      <x:c r="E126" s="14" t="str">
        <x:v>Long</x:v>
      </x:c>
      <x:c r="F126" s="18" t="n">
        <x:v>45</x:v>
      </x:c>
      <x:c r="G126" s="17" t="n">
        <x:v>400</x:v>
      </x:c>
      <x:c r="H126" s="14" t="str">
        <x:v>per service</x:v>
      </x:c>
      <x:c r="I126" s="14" t="str">
        <x:v>Inclusive of 5% VAT</x:v>
      </x:c>
      <x:c r="J126" s="19" t="str">
        <x:v>https://bedashingbeauty.com/service/hair/</x:v>
      </x:c>
      <x:c r="K126" s="14" t="str">
        <x:v>2026-09-03</x:v>
      </x:c>
      <x:c r="L126" s="14" t="str">
        <x:v>Official Bedashing website</x:v>
      </x:c>
      <x:c r="M126" s="14" t="str">
        <x:v>OK</x:v>
      </x:c>
      <x:c r="N126" s="20" t="str"/>
    </x:row>
    <x:row r="127" ht="15" hidden="0" customHeight="1">
      <x:c r="A127" s="14" t="str">
        <x:v>SVC-0126</x:v>
      </x:c>
      <x:c r="B127" s="14" t="str">
        <x:v>Hair</x:v>
      </x:c>
      <x:c r="C127" s="14" t="str">
        <x:v>Hair Technical</x:v>
      </x:c>
      <x:c r="D127" s="14" t="str">
        <x:v>Root Color</x:v>
      </x:c>
      <x:c r="E127" s="14" t="str">
        <x:v>Standard</x:v>
      </x:c>
      <x:c r="F127" s="18" t="n">
        <x:v>60</x:v>
      </x:c>
      <x:c r="G127" s="17" t="n">
        <x:v>220</x:v>
      </x:c>
      <x:c r="H127" s="14" t="str">
        <x:v>per service</x:v>
      </x:c>
      <x:c r="I127" s="14" t="str">
        <x:v>Inclusive of 5% VAT</x:v>
      </x:c>
      <x:c r="J127" s="19" t="str">
        <x:v>https://bedashingbeauty.com/service/hair/</x:v>
      </x:c>
      <x:c r="K127" s="14" t="str">
        <x:v>2026-09-03</x:v>
      </x:c>
      <x:c r="L127" s="14" t="str">
        <x:v>Official Bedashing website</x:v>
      </x:c>
      <x:c r="M127" s="14" t="str">
        <x:v>OK</x:v>
      </x:c>
      <x:c r="N127" s="20" t="str"/>
    </x:row>
    <x:row r="128" ht="15" hidden="0" customHeight="1">
      <x:c r="A128" s="14" t="str">
        <x:v>SVC-0127</x:v>
      </x:c>
      <x:c r="B128" s="14" t="str">
        <x:v>Hair</x:v>
      </x:c>
      <x:c r="C128" s="14" t="str">
        <x:v>Hair Technical</x:v>
      </x:c>
      <x:c r="D128" s="14" t="str">
        <x:v>Root Color - Ammonia Free</x:v>
      </x:c>
      <x:c r="E128" s="14" t="str">
        <x:v>Standard</x:v>
      </x:c>
      <x:c r="F128" s="18" t="n">
        <x:v>60</x:v>
      </x:c>
      <x:c r="G128" s="17" t="n">
        <x:v>280</x:v>
      </x:c>
      <x:c r="H128" s="14" t="str">
        <x:v>per service</x:v>
      </x:c>
      <x:c r="I128" s="14" t="str">
        <x:v>Inclusive of 5% VAT</x:v>
      </x:c>
      <x:c r="J128" s="19" t="str">
        <x:v>https://bedashingbeauty.com/service/hair/</x:v>
      </x:c>
      <x:c r="K128" s="14" t="str">
        <x:v>2026-09-03</x:v>
      </x:c>
      <x:c r="L128" s="14" t="str">
        <x:v>Official Bedashing website</x:v>
      </x:c>
      <x:c r="M128" s="14" t="str">
        <x:v>OK</x:v>
      </x:c>
      <x:c r="N128" s="20" t="str"/>
    </x:row>
    <x:row r="129" ht="15" hidden="0" customHeight="1">
      <x:c r="A129" s="14" t="str">
        <x:v>SVC-0128</x:v>
      </x:c>
      <x:c r="B129" s="14" t="str">
        <x:v>Hair</x:v>
      </x:c>
      <x:c r="C129" s="14" t="str">
        <x:v>Hair Technical</x:v>
      </x:c>
      <x:c r="D129" s="14" t="str">
        <x:v>Color Removal</x:v>
      </x:c>
      <x:c r="E129" s="14" t="str">
        <x:v>Standard</x:v>
      </x:c>
      <x:c r="F129" s="18" t="n">
        <x:v>100</x:v>
      </x:c>
      <x:c r="G129" s="17" t="n">
        <x:v>472.5</x:v>
      </x:c>
      <x:c r="H129" s="14" t="str">
        <x:v>per service</x:v>
      </x:c>
      <x:c r="I129" s="14" t="str">
        <x:v>Inclusive of 5% VAT</x:v>
      </x:c>
      <x:c r="J129" s="19" t="str">
        <x:v>https://bedashingbeauty.com/service/hair/</x:v>
      </x:c>
      <x:c r="K129" s="14" t="str">
        <x:v>2026-09-03</x:v>
      </x:c>
      <x:c r="L129" s="14" t="str">
        <x:v>Official Bedashing website</x:v>
      </x:c>
      <x:c r="M129" s="14" t="str">
        <x:v>OK</x:v>
      </x:c>
      <x:c r="N129" s="20" t="str"/>
    </x:row>
    <x:row r="130" ht="15" hidden="0" customHeight="1">
      <x:c r="A130" s="14" t="str">
        <x:v>SVC-0129</x:v>
      </x:c>
      <x:c r="B130" s="14" t="str">
        <x:v>Hair</x:v>
      </x:c>
      <x:c r="C130" s="14" t="str">
        <x:v>Hair Technical</x:v>
      </x:c>
      <x:c r="D130" s="14" t="str">
        <x:v>Colour Undo</x:v>
      </x:c>
      <x:c r="E130" s="14" t="str">
        <x:v>Standard</x:v>
      </x:c>
      <x:c r="F130" s="18" t="n">
        <x:v>60</x:v>
      </x:c>
      <x:c r="G130" s="17" t="n">
        <x:v>200</x:v>
      </x:c>
      <x:c r="H130" s="14" t="str">
        <x:v>per service</x:v>
      </x:c>
      <x:c r="I130" s="14" t="str">
        <x:v>Inclusive of 5% VAT</x:v>
      </x:c>
      <x:c r="J130" s="19" t="str">
        <x:v>https://bedashingbeauty.com/service/hair/</x:v>
      </x:c>
      <x:c r="K130" s="14" t="str">
        <x:v>2026-09-03</x:v>
      </x:c>
      <x:c r="L130" s="14" t="str">
        <x:v>Official Bedashing website</x:v>
      </x:c>
      <x:c r="M130" s="14" t="str">
        <x:v>OK</x:v>
      </x:c>
      <x:c r="N130" s="20" t="str"/>
    </x:row>
    <x:row r="131" ht="15" hidden="0" customHeight="1">
      <x:c r="A131" s="14" t="str">
        <x:v>SVC-0130</x:v>
      </x:c>
      <x:c r="B131" s="14" t="str">
        <x:v>Hair</x:v>
      </x:c>
      <x:c r="C131" s="14" t="str">
        <x:v>Hair Technical</x:v>
      </x:c>
      <x:c r="D131" s="14" t="str">
        <x:v>Face Framing</x:v>
      </x:c>
      <x:c r="E131" s="14" t="str">
        <x:v>Standard</x:v>
      </x:c>
      <x:c r="F131" s="18" t="n">
        <x:v>100</x:v>
      </x:c>
      <x:c r="G131" s="17" t="n">
        <x:v>472.5</x:v>
      </x:c>
      <x:c r="H131" s="14" t="str">
        <x:v>per service</x:v>
      </x:c>
      <x:c r="I131" s="14" t="str">
        <x:v>Inclusive of 5% VAT</x:v>
      </x:c>
      <x:c r="J131" s="19" t="str">
        <x:v>https://bedashingbeauty.com/service/hair/</x:v>
      </x:c>
      <x:c r="K131" s="14" t="str">
        <x:v>2026-09-03</x:v>
      </x:c>
      <x:c r="L131" s="14" t="str">
        <x:v>Official Bedashing website</x:v>
      </x:c>
      <x:c r="M131" s="14" t="str">
        <x:v>OK</x:v>
      </x:c>
      <x:c r="N131" s="20" t="str"/>
    </x:row>
    <x:row r="132" ht="15" hidden="0" customHeight="1">
      <x:c r="A132" s="14" t="str">
        <x:v>SVC-0131</x:v>
      </x:c>
      <x:c r="B132" s="14" t="str">
        <x:v>Hair</x:v>
      </x:c>
      <x:c r="C132" s="14" t="str">
        <x:v>Hair Technical</x:v>
      </x:c>
      <x:c r="D132" s="14" t="str">
        <x:v>Full Color</x:v>
      </x:c>
      <x:c r="E132" s="14" t="str">
        <x:v>Short</x:v>
      </x:c>
      <x:c r="F132" s="18" t="n">
        <x:v>120</x:v>
      </x:c>
      <x:c r="G132" s="17" t="n">
        <x:v>367.5</x:v>
      </x:c>
      <x:c r="H132" s="14" t="str">
        <x:v>per service</x:v>
      </x:c>
      <x:c r="I132" s="14" t="str">
        <x:v>Inclusive of 5% VAT</x:v>
      </x:c>
      <x:c r="J132" s="19" t="str">
        <x:v>https://bedashingbeauty.com/service/hair/</x:v>
      </x:c>
      <x:c r="K132" s="14" t="str">
        <x:v>2026-09-03</x:v>
      </x:c>
      <x:c r="L132" s="14" t="str">
        <x:v>Official Bedashing website</x:v>
      </x:c>
      <x:c r="M132" s="14" t="str">
        <x:v>OK</x:v>
      </x:c>
      <x:c r="N132" s="20" t="str"/>
    </x:row>
    <x:row r="133" ht="15" hidden="0" customHeight="1">
      <x:c r="A133" s="14" t="str">
        <x:v>SVC-0132</x:v>
      </x:c>
      <x:c r="B133" s="14" t="str">
        <x:v>Hair</x:v>
      </x:c>
      <x:c r="C133" s="14" t="str">
        <x:v>Hair Technical</x:v>
      </x:c>
      <x:c r="D133" s="14" t="str">
        <x:v>Full Color</x:v>
      </x:c>
      <x:c r="E133" s="14" t="str">
        <x:v>Medium</x:v>
      </x:c>
      <x:c r="F133" s="18" t="n">
        <x:v>140</x:v>
      </x:c>
      <x:c r="G133" s="17" t="n">
        <x:v>473</x:v>
      </x:c>
      <x:c r="H133" s="14" t="str">
        <x:v>per service</x:v>
      </x:c>
      <x:c r="I133" s="14" t="str">
        <x:v>Inclusive of 5% VAT</x:v>
      </x:c>
      <x:c r="J133" s="19" t="str">
        <x:v>https://bedashingbeauty.com/service/hair/</x:v>
      </x:c>
      <x:c r="K133" s="14" t="str">
        <x:v>2026-09-03</x:v>
      </x:c>
      <x:c r="L133" s="14" t="str">
        <x:v>Official Bedashing website</x:v>
      </x:c>
      <x:c r="M133" s="14" t="str">
        <x:v>OK</x:v>
      </x:c>
      <x:c r="N133" s="20" t="str"/>
    </x:row>
    <x:row r="134" ht="15" hidden="0" customHeight="1">
      <x:c r="A134" s="14" t="str">
        <x:v>SVC-0133</x:v>
      </x:c>
      <x:c r="B134" s="14" t="str">
        <x:v>Hair</x:v>
      </x:c>
      <x:c r="C134" s="14" t="str">
        <x:v>Hair Technical</x:v>
      </x:c>
      <x:c r="D134" s="14" t="str">
        <x:v>Full Color</x:v>
      </x:c>
      <x:c r="E134" s="14" t="str">
        <x:v>Long</x:v>
      </x:c>
      <x:c r="F134" s="18" t="n">
        <x:v>160</x:v>
      </x:c>
      <x:c r="G134" s="17" t="n">
        <x:v>630</x:v>
      </x:c>
      <x:c r="H134" s="14" t="str">
        <x:v>per service</x:v>
      </x:c>
      <x:c r="I134" s="14" t="str">
        <x:v>Inclusive of 5% VAT</x:v>
      </x:c>
      <x:c r="J134" s="19" t="str">
        <x:v>https://bedashingbeauty.com/service/hair/</x:v>
      </x:c>
      <x:c r="K134" s="14" t="str">
        <x:v>2026-09-03</x:v>
      </x:c>
      <x:c r="L134" s="14" t="str">
        <x:v>Official Bedashing website</x:v>
      </x:c>
      <x:c r="M134" s="14" t="str">
        <x:v>OK</x:v>
      </x:c>
      <x:c r="N134" s="20" t="str"/>
    </x:row>
    <x:row r="135" ht="15" hidden="0" customHeight="1">
      <x:c r="A135" s="14" t="str">
        <x:v>SVC-0134</x:v>
      </x:c>
      <x:c r="B135" s="14" t="str">
        <x:v>Hair</x:v>
      </x:c>
      <x:c r="C135" s="14" t="str">
        <x:v>Hair Technical</x:v>
      </x:c>
      <x:c r="D135" s="14" t="str">
        <x:v>Full Color - Ammonia Free</x:v>
      </x:c>
      <x:c r="E135" s="14" t="str">
        <x:v>Short</x:v>
      </x:c>
      <x:c r="F135" s="18" t="n">
        <x:v>120</x:v>
      </x:c>
      <x:c r="G135" s="17" t="n">
        <x:v>420</x:v>
      </x:c>
      <x:c r="H135" s="14" t="str">
        <x:v>per service</x:v>
      </x:c>
      <x:c r="I135" s="14" t="str">
        <x:v>Inclusive of 5% VAT</x:v>
      </x:c>
      <x:c r="J135" s="19" t="str">
        <x:v>https://bedashingbeauty.com/service/hair/</x:v>
      </x:c>
      <x:c r="K135" s="14" t="str">
        <x:v>2026-09-03</x:v>
      </x:c>
      <x:c r="L135" s="14" t="str">
        <x:v>Official Bedashing website</x:v>
      </x:c>
      <x:c r="M135" s="14" t="str">
        <x:v>OK</x:v>
      </x:c>
      <x:c r="N135" s="20" t="str"/>
    </x:row>
    <x:row r="136" ht="15" hidden="0" customHeight="1">
      <x:c r="A136" s="14" t="str">
        <x:v>SVC-0135</x:v>
      </x:c>
      <x:c r="B136" s="14" t="str">
        <x:v>Hair</x:v>
      </x:c>
      <x:c r="C136" s="14" t="str">
        <x:v>Hair Technical</x:v>
      </x:c>
      <x:c r="D136" s="14" t="str">
        <x:v>Full Color - Ammonia Free</x:v>
      </x:c>
      <x:c r="E136" s="14" t="str">
        <x:v>Medium</x:v>
      </x:c>
      <x:c r="F136" s="18" t="n">
        <x:v>140</x:v>
      </x:c>
      <x:c r="G136" s="17" t="n">
        <x:v>630</x:v>
      </x:c>
      <x:c r="H136" s="14" t="str">
        <x:v>per service</x:v>
      </x:c>
      <x:c r="I136" s="14" t="str">
        <x:v>Inclusive of 5% VAT</x:v>
      </x:c>
      <x:c r="J136" s="19" t="str">
        <x:v>https://bedashingbeauty.com/service/hair/</x:v>
      </x:c>
      <x:c r="K136" s="14" t="str">
        <x:v>2026-09-03</x:v>
      </x:c>
      <x:c r="L136" s="14" t="str">
        <x:v>Official Bedashing website</x:v>
      </x:c>
      <x:c r="M136" s="14" t="str">
        <x:v>OK</x:v>
      </x:c>
      <x:c r="N136" s="20" t="str"/>
    </x:row>
    <x:row r="137" ht="15" hidden="0" customHeight="1">
      <x:c r="A137" s="14" t="str">
        <x:v>SVC-0136</x:v>
      </x:c>
      <x:c r="B137" s="14" t="str">
        <x:v>Hair</x:v>
      </x:c>
      <x:c r="C137" s="14" t="str">
        <x:v>Hair Technical</x:v>
      </x:c>
      <x:c r="D137" s="14" t="str">
        <x:v>Full Color - Ammonia Free</x:v>
      </x:c>
      <x:c r="E137" s="14" t="str">
        <x:v>Long</x:v>
      </x:c>
      <x:c r="F137" s="18" t="n">
        <x:v>150</x:v>
      </x:c>
      <x:c r="G137" s="17" t="n">
        <x:v>840</x:v>
      </x:c>
      <x:c r="H137" s="14" t="str">
        <x:v>per service</x:v>
      </x:c>
      <x:c r="I137" s="14" t="str">
        <x:v>Inclusive of 5% VAT</x:v>
      </x:c>
      <x:c r="J137" s="19" t="str">
        <x:v>https://bedashingbeauty.com/service/hair/</x:v>
      </x:c>
      <x:c r="K137" s="14" t="str">
        <x:v>2026-09-03</x:v>
      </x:c>
      <x:c r="L137" s="14" t="str">
        <x:v>Official Bedashing website</x:v>
      </x:c>
      <x:c r="M137" s="14" t="str">
        <x:v>OK</x:v>
      </x:c>
      <x:c r="N137" s="20" t="str"/>
    </x:row>
    <x:row r="138" ht="15" hidden="0" customHeight="1">
      <x:c r="A138" s="14" t="str">
        <x:v>SVC-0137</x:v>
      </x:c>
      <x:c r="B138" s="14" t="str">
        <x:v>Hair</x:v>
      </x:c>
      <x:c r="C138" s="14" t="str">
        <x:v>Hair Technical</x:v>
      </x:c>
      <x:c r="D138" s="14" t="str">
        <x:v>Balayage/Foilyage/Full Head Highlight</x:v>
      </x:c>
      <x:c r="E138" s="14" t="str">
        <x:v>Short</x:v>
      </x:c>
      <x:c r="F138" s="18" t="n">
        <x:v>120</x:v>
      </x:c>
      <x:c r="G138" s="17" t="n">
        <x:v>735</x:v>
      </x:c>
      <x:c r="H138" s="14" t="str">
        <x:v>per service</x:v>
      </x:c>
      <x:c r="I138" s="14" t="str">
        <x:v>Inclusive of 5% VAT</x:v>
      </x:c>
      <x:c r="J138" s="19" t="str">
        <x:v>https://bedashingbeauty.com/service/hair/</x:v>
      </x:c>
      <x:c r="K138" s="14" t="str">
        <x:v>2026-09-03</x:v>
      </x:c>
      <x:c r="L138" s="14" t="str">
        <x:v>Official Bedashing website</x:v>
      </x:c>
      <x:c r="M138" s="14" t="str">
        <x:v>OK</x:v>
      </x:c>
      <x:c r="N138" s="20" t="str"/>
    </x:row>
    <x:row r="139" ht="15" hidden="0" customHeight="1">
      <x:c r="A139" s="14" t="str">
        <x:v>SVC-0138</x:v>
      </x:c>
      <x:c r="B139" s="14" t="str">
        <x:v>Hair</x:v>
      </x:c>
      <x:c r="C139" s="14" t="str">
        <x:v>Hair Technical</x:v>
      </x:c>
      <x:c r="D139" s="14" t="str">
        <x:v>Balayage/Foilyage/Full Head Highlight</x:v>
      </x:c>
      <x:c r="E139" s="14" t="str">
        <x:v>Medium</x:v>
      </x:c>
      <x:c r="F139" s="18" t="n">
        <x:v>150</x:v>
      </x:c>
      <x:c r="G139" s="17" t="n">
        <x:v>1050</x:v>
      </x:c>
      <x:c r="H139" s="14" t="str">
        <x:v>per service</x:v>
      </x:c>
      <x:c r="I139" s="14" t="str">
        <x:v>Inclusive of 5% VAT</x:v>
      </x:c>
      <x:c r="J139" s="19" t="str">
        <x:v>https://bedashingbeauty.com/service/hair/</x:v>
      </x:c>
      <x:c r="K139" s="14" t="str">
        <x:v>2026-09-03</x:v>
      </x:c>
      <x:c r="L139" s="14" t="str">
        <x:v>Official Bedashing website</x:v>
      </x:c>
      <x:c r="M139" s="14" t="str">
        <x:v>OK</x:v>
      </x:c>
      <x:c r="N139" s="20" t="str"/>
    </x:row>
    <x:row r="140" ht="15" hidden="0" customHeight="1">
      <x:c r="A140" s="14" t="str">
        <x:v>SVC-0139</x:v>
      </x:c>
      <x:c r="B140" s="14" t="str">
        <x:v>Hair</x:v>
      </x:c>
      <x:c r="C140" s="14" t="str">
        <x:v>Hair Technical</x:v>
      </x:c>
      <x:c r="D140" s="14" t="str">
        <x:v>Balayage/Foilyage/Full Head Highlight</x:v>
      </x:c>
      <x:c r="E140" s="14" t="str">
        <x:v>Long</x:v>
      </x:c>
      <x:c r="F140" s="18" t="n">
        <x:v>180</x:v>
      </x:c>
      <x:c r="G140" s="17" t="n">
        <x:v>1680</x:v>
      </x:c>
      <x:c r="H140" s="14" t="str">
        <x:v>per service</x:v>
      </x:c>
      <x:c r="I140" s="14" t="str">
        <x:v>Inclusive of 5% VAT</x:v>
      </x:c>
      <x:c r="J140" s="19" t="str">
        <x:v>https://bedashingbeauty.com/service/hair/</x:v>
      </x:c>
      <x:c r="K140" s="14" t="str">
        <x:v>2026-09-03</x:v>
      </x:c>
      <x:c r="L140" s="14" t="str">
        <x:v>Official Bedashing website</x:v>
      </x:c>
      <x:c r="M140" s="14" t="str">
        <x:v>OK</x:v>
      </x:c>
      <x:c r="N140" s="20" t="str"/>
    </x:row>
    <x:row r="141" ht="15" hidden="0" customHeight="1">
      <x:c r="A141" s="14" t="str">
        <x:v>SVC-0140</x:v>
      </x:c>
      <x:c r="B141" s="14" t="str">
        <x:v>Hair</x:v>
      </x:c>
      <x:c r="C141" s="14" t="str">
        <x:v>Hair Technical</x:v>
      </x:c>
      <x:c r="D141" s="14" t="str">
        <x:v>Toner</x:v>
      </x:c>
      <x:c r="E141" s="14" t="str">
        <x:v>Short</x:v>
      </x:c>
      <x:c r="F141" s="18" t="n">
        <x:v>30</x:v>
      </x:c>
      <x:c r="G141" s="17" t="n">
        <x:v>210</x:v>
      </x:c>
      <x:c r="H141" s="14" t="str">
        <x:v>per service</x:v>
      </x:c>
      <x:c r="I141" s="14" t="str">
        <x:v>Inclusive of 5% VAT</x:v>
      </x:c>
      <x:c r="J141" s="19" t="str">
        <x:v>https://bedashingbeauty.com/service/hair/</x:v>
      </x:c>
      <x:c r="K141" s="14" t="str">
        <x:v>2026-09-03</x:v>
      </x:c>
      <x:c r="L141" s="14" t="str">
        <x:v>Official Bedashing website</x:v>
      </x:c>
      <x:c r="M141" s="14" t="str">
        <x:v>OK</x:v>
      </x:c>
      <x:c r="N141" s="20" t="str"/>
    </x:row>
    <x:row r="142" ht="15" hidden="0" customHeight="1">
      <x:c r="A142" s="14" t="str">
        <x:v>SVC-0141</x:v>
      </x:c>
      <x:c r="B142" s="14" t="str">
        <x:v>Hair</x:v>
      </x:c>
      <x:c r="C142" s="14" t="str">
        <x:v>Hair Technical</x:v>
      </x:c>
      <x:c r="D142" s="14" t="str">
        <x:v>Toner</x:v>
      </x:c>
      <x:c r="E142" s="14" t="str">
        <x:v>Medium</x:v>
      </x:c>
      <x:c r="F142" s="18" t="n">
        <x:v>35</x:v>
      </x:c>
      <x:c r="G142" s="17" t="n">
        <x:v>420</x:v>
      </x:c>
      <x:c r="H142" s="14" t="str">
        <x:v>per service</x:v>
      </x:c>
      <x:c r="I142" s="14" t="str">
        <x:v>Inclusive of 5% VAT</x:v>
      </x:c>
      <x:c r="J142" s="19" t="str">
        <x:v>https://bedashingbeauty.com/service/hair/</x:v>
      </x:c>
      <x:c r="K142" s="14" t="str">
        <x:v>2026-09-03</x:v>
      </x:c>
      <x:c r="L142" s="14" t="str">
        <x:v>Official Bedashing website</x:v>
      </x:c>
      <x:c r="M142" s="14" t="str">
        <x:v>OK</x:v>
      </x:c>
      <x:c r="N142" s="20" t="str"/>
    </x:row>
    <x:row r="143" ht="15" hidden="0" customHeight="1">
      <x:c r="A143" s="14" t="str">
        <x:v>SVC-0142</x:v>
      </x:c>
      <x:c r="B143" s="14" t="str">
        <x:v>Hair</x:v>
      </x:c>
      <x:c r="C143" s="14" t="str">
        <x:v>Hair Technical</x:v>
      </x:c>
      <x:c r="D143" s="14" t="str">
        <x:v>Toner</x:v>
      </x:c>
      <x:c r="E143" s="14" t="str">
        <x:v>Long</x:v>
      </x:c>
      <x:c r="F143" s="18" t="n">
        <x:v>40</x:v>
      </x:c>
      <x:c r="G143" s="17" t="n">
        <x:v>630</x:v>
      </x:c>
      <x:c r="H143" s="14" t="str">
        <x:v>per service</x:v>
      </x:c>
      <x:c r="I143" s="14" t="str">
        <x:v>Inclusive of 5% VAT</x:v>
      </x:c>
      <x:c r="J143" s="19" t="str">
        <x:v>https://bedashingbeauty.com/service/hair/</x:v>
      </x:c>
      <x:c r="K143" s="14" t="str">
        <x:v>2026-09-03</x:v>
      </x:c>
      <x:c r="L143" s="14" t="str">
        <x:v>Official Bedashing website</x:v>
      </x:c>
      <x:c r="M143" s="14" t="str">
        <x:v>OK</x:v>
      </x:c>
      <x:c r="N143" s="20" t="str"/>
    </x:row>
    <x:row r="144" ht="15" hidden="0" customHeight="1">
      <x:c r="A144" s="14" t="str">
        <x:v>SVC-0143</x:v>
      </x:c>
      <x:c r="B144" s="14" t="str">
        <x:v>Hair</x:v>
      </x:c>
      <x:c r="C144" s="14" t="str">
        <x:v>Hair Technical</x:v>
      </x:c>
      <x:c r="D144" s="14" t="str">
        <x:v>Half Head Highlight</x:v>
      </x:c>
      <x:c r="E144" s="14" t="str">
        <x:v>Short</x:v>
      </x:c>
      <x:c r="F144" s="18" t="n">
        <x:v>60</x:v>
      </x:c>
      <x:c r="G144" s="17" t="n">
        <x:v>525</x:v>
      </x:c>
      <x:c r="H144" s="14" t="str">
        <x:v>per service</x:v>
      </x:c>
      <x:c r="I144" s="14" t="str">
        <x:v>Inclusive of 5% VAT</x:v>
      </x:c>
      <x:c r="J144" s="19" t="str">
        <x:v>https://bedashingbeauty.com/service/hair/</x:v>
      </x:c>
      <x:c r="K144" s="14" t="str">
        <x:v>2026-09-03</x:v>
      </x:c>
      <x:c r="L144" s="14" t="str">
        <x:v>Official Bedashing website</x:v>
      </x:c>
      <x:c r="M144" s="14" t="str">
        <x:v>OK</x:v>
      </x:c>
      <x:c r="N144" s="20" t="str"/>
    </x:row>
    <x:row r="145" ht="15" hidden="0" customHeight="1">
      <x:c r="A145" s="14" t="str">
        <x:v>SVC-0144</x:v>
      </x:c>
      <x:c r="B145" s="14" t="str">
        <x:v>Hair</x:v>
      </x:c>
      <x:c r="C145" s="14" t="str">
        <x:v>Hair Technical</x:v>
      </x:c>
      <x:c r="D145" s="14" t="str">
        <x:v>Half Head Highlight</x:v>
      </x:c>
      <x:c r="E145" s="14" t="str">
        <x:v>Medium</x:v>
      </x:c>
      <x:c r="F145" s="18" t="n">
        <x:v>90</x:v>
      </x:c>
      <x:c r="G145" s="17" t="n">
        <x:v>735</x:v>
      </x:c>
      <x:c r="H145" s="14" t="str">
        <x:v>per service</x:v>
      </x:c>
      <x:c r="I145" s="14" t="str">
        <x:v>Inclusive of 5% VAT</x:v>
      </x:c>
      <x:c r="J145" s="19" t="str">
        <x:v>https://bedashingbeauty.com/service/hair/</x:v>
      </x:c>
      <x:c r="K145" s="14" t="str">
        <x:v>2026-09-03</x:v>
      </x:c>
      <x:c r="L145" s="14" t="str">
        <x:v>Official Bedashing website</x:v>
      </x:c>
      <x:c r="M145" s="14" t="str">
        <x:v>OK</x:v>
      </x:c>
      <x:c r="N145" s="20" t="str"/>
    </x:row>
    <x:row r="146" ht="15" hidden="0" customHeight="1">
      <x:c r="A146" s="14" t="str">
        <x:v>SVC-0145</x:v>
      </x:c>
      <x:c r="B146" s="14" t="str">
        <x:v>Hair</x:v>
      </x:c>
      <x:c r="C146" s="14" t="str">
        <x:v>Hair Technical</x:v>
      </x:c>
      <x:c r="D146" s="14" t="str">
        <x:v>Half Head Highlight</x:v>
      </x:c>
      <x:c r="E146" s="14" t="str">
        <x:v>Long</x:v>
      </x:c>
      <x:c r="F146" s="18" t="n">
        <x:v>120</x:v>
      </x:c>
      <x:c r="G146" s="17" t="n">
        <x:v>1365</x:v>
      </x:c>
      <x:c r="H146" s="14" t="str">
        <x:v>per service</x:v>
      </x:c>
      <x:c r="I146" s="14" t="str">
        <x:v>Inclusive of 5% VAT</x:v>
      </x:c>
      <x:c r="J146" s="19" t="str">
        <x:v>https://bedashingbeauty.com/service/hair/</x:v>
      </x:c>
      <x:c r="K146" s="14" t="str">
        <x:v>2026-09-03</x:v>
      </x:c>
      <x:c r="L146" s="14" t="str">
        <x:v>Official Bedashing website</x:v>
      </x:c>
      <x:c r="M146" s="14" t="str">
        <x:v>OK</x:v>
      </x:c>
      <x:c r="N146" s="20" t="str"/>
    </x:row>
    <x:row r="147" ht="15" hidden="0" customHeight="1">
      <x:c r="A147" s="14" t="str">
        <x:v>SVC-0146</x:v>
      </x:c>
      <x:c r="B147" s="14" t="str">
        <x:v>Hair</x:v>
      </x:c>
      <x:c r="C147" s="14" t="str">
        <x:v>Hair Anti-Frizz</x:v>
      </x:c>
      <x:c r="D147" s="14" t="str">
        <x:v>Protein / Botox / Keratin / BB Crème</x:v>
      </x:c>
      <x:c r="E147" s="14" t="str">
        <x:v>Short</x:v>
      </x:c>
      <x:c r="F147" s="18" t="n">
        <x:v>130</x:v>
      </x:c>
      <x:c r="G147" s="17" t="n">
        <x:v>1050</x:v>
      </x:c>
      <x:c r="H147" s="14" t="str">
        <x:v>per service</x:v>
      </x:c>
      <x:c r="I147" s="14" t="str">
        <x:v>Inclusive of 5% VAT</x:v>
      </x:c>
      <x:c r="J147" s="19" t="str">
        <x:v>https://bedashingbeauty.com/service/hair/</x:v>
      </x:c>
      <x:c r="K147" s="14" t="str">
        <x:v>2026-09-03</x:v>
      </x:c>
      <x:c r="L147" s="14" t="str">
        <x:v>Official Bedashing website</x:v>
      </x:c>
      <x:c r="M147" s="14" t="str">
        <x:v>OK</x:v>
      </x:c>
      <x:c r="N147" s="20" t="str"/>
    </x:row>
    <x:row r="148" ht="15" hidden="0" customHeight="1">
      <x:c r="A148" s="14" t="str">
        <x:v>SVC-0147</x:v>
      </x:c>
      <x:c r="B148" s="14" t="str">
        <x:v>Hair</x:v>
      </x:c>
      <x:c r="C148" s="14" t="str">
        <x:v>Hair Anti-Frizz</x:v>
      </x:c>
      <x:c r="D148" s="14" t="str">
        <x:v>Protein / Botox / Keratin / BB Crème</x:v>
      </x:c>
      <x:c r="E148" s="14" t="str">
        <x:v>Medium</x:v>
      </x:c>
      <x:c r="F148" s="18" t="n">
        <x:v>160</x:v>
      </x:c>
      <x:c r="G148" s="17" t="n">
        <x:v>1260</x:v>
      </x:c>
      <x:c r="H148" s="14" t="str">
        <x:v>per service</x:v>
      </x:c>
      <x:c r="I148" s="14" t="str">
        <x:v>Inclusive of 5% VAT</x:v>
      </x:c>
      <x:c r="J148" s="19" t="str">
        <x:v>https://bedashingbeauty.com/service/hair/</x:v>
      </x:c>
      <x:c r="K148" s="14" t="str">
        <x:v>2026-09-03</x:v>
      </x:c>
      <x:c r="L148" s="14" t="str">
        <x:v>Official Bedashing website</x:v>
      </x:c>
      <x:c r="M148" s="14" t="str">
        <x:v>OK</x:v>
      </x:c>
      <x:c r="N148" s="20" t="str"/>
    </x:row>
    <x:row r="149" ht="15" hidden="0" customHeight="1">
      <x:c r="A149" s="14" t="str">
        <x:v>SVC-0148</x:v>
      </x:c>
      <x:c r="B149" s="14" t="str">
        <x:v>Hair</x:v>
      </x:c>
      <x:c r="C149" s="14" t="str">
        <x:v>Hair Anti-Frizz</x:v>
      </x:c>
      <x:c r="D149" s="14" t="str">
        <x:v>Protein / Botox / Keratin / BB Crème</x:v>
      </x:c>
      <x:c r="E149" s="14" t="str">
        <x:v>Long</x:v>
      </x:c>
      <x:c r="F149" s="18" t="n">
        <x:v>190</x:v>
      </x:c>
      <x:c r="G149" s="17" t="n">
        <x:v>1890</x:v>
      </x:c>
      <x:c r="H149" s="14" t="str">
        <x:v>per service</x:v>
      </x:c>
      <x:c r="I149" s="14" t="str">
        <x:v>Inclusive of 5% VAT</x:v>
      </x:c>
      <x:c r="J149" s="19" t="str">
        <x:v>https://bedashingbeauty.com/service/hair/</x:v>
      </x:c>
      <x:c r="K149" s="14" t="str">
        <x:v>2026-09-03</x:v>
      </x:c>
      <x:c r="L149" s="14" t="str">
        <x:v>Official Bedashing website</x:v>
      </x:c>
      <x:c r="M149" s="14" t="str">
        <x:v>OK</x:v>
      </x:c>
      <x:c r="N149" s="20" t="str"/>
    </x:row>
    <x:row r="150" ht="15" hidden="0" customHeight="1">
      <x:c r="A150" s="14" t="str">
        <x:v>SVC-0149</x:v>
      </x:c>
      <x:c r="B150" s="14" t="str">
        <x:v>Hair</x:v>
      </x:c>
      <x:c r="C150" s="14" t="str">
        <x:v>Hair Anti-Frizz</x:v>
      </x:c>
      <x:c r="D150" s="14" t="str">
        <x:v>Protein / Botox / Keratin / BB Crème</x:v>
      </x:c>
      <x:c r="E150" s="14" t="str">
        <x:v>Very Long</x:v>
      </x:c>
      <x:c r="F150" s="18" t="n">
        <x:v>210</x:v>
      </x:c>
      <x:c r="G150" s="17" t="n">
        <x:v>2100</x:v>
      </x:c>
      <x:c r="H150" s="14" t="str">
        <x:v>per service</x:v>
      </x:c>
      <x:c r="I150" s="14" t="str">
        <x:v>Inclusive of 5% VAT</x:v>
      </x:c>
      <x:c r="J150" s="19" t="str">
        <x:v>https://bedashingbeauty.com/service/hair/</x:v>
      </x:c>
      <x:c r="K150" s="14" t="str">
        <x:v>2026-09-03</x:v>
      </x:c>
      <x:c r="L150" s="14" t="str">
        <x:v>Official Bedashing website</x:v>
      </x:c>
      <x:c r="M150" s="14" t="str">
        <x:v>OK</x:v>
      </x:c>
      <x:c r="N150" s="20" t="str"/>
    </x:row>
    <x:row r="151" ht="15" hidden="0" customHeight="1">
      <x:c r="A151" s="14" t="str">
        <x:v>SVC-0150</x:v>
      </x:c>
      <x:c r="B151" s="14" t="str">
        <x:v>Hair</x:v>
      </x:c>
      <x:c r="C151" s="14" t="str">
        <x:v>Hair Anti-Frizz</x:v>
      </x:c>
      <x:c r="D151" s="14" t="str">
        <x:v>Fringe Keratin</x:v>
      </x:c>
      <x:c r="E151" s="14" t="str">
        <x:v>Standard</x:v>
      </x:c>
      <x:c r="F151" s="18" t="n">
        <x:v>60</x:v>
      </x:c>
      <x:c r="G151" s="17" t="n">
        <x:v>525</x:v>
      </x:c>
      <x:c r="H151" s="14" t="str">
        <x:v>per service</x:v>
      </x:c>
      <x:c r="I151" s="14" t="str">
        <x:v>Inclusive of 5% VAT</x:v>
      </x:c>
      <x:c r="J151" s="19" t="str">
        <x:v>https://bedashingbeauty.com/service/hair/</x:v>
      </x:c>
      <x:c r="K151" s="14" t="str">
        <x:v>2026-09-03</x:v>
      </x:c>
      <x:c r="L151" s="14" t="str">
        <x:v>Official Bedashing website</x:v>
      </x:c>
      <x:c r="M151" s="14" t="str">
        <x:v>OK</x:v>
      </x:c>
      <x:c r="N151" s="20" t="str"/>
    </x:row>
    <x:row r="152" ht="15" hidden="0" customHeight="1">
      <x:c r="A152" s="14" t="str">
        <x:v>SVC-0151</x:v>
      </x:c>
      <x:c r="B152" s="14" t="str">
        <x:v>Nails</x:v>
      </x:c>
      <x:c r="C152" s="14" t="str">
        <x:v>Nail Essentials</x:v>
      </x:c>
      <x:c r="D152" s="14" t="str">
        <x:v>File Manicure</x:v>
      </x:c>
      <x:c r="E152" s="14" t="str">
        <x:v>Standard</x:v>
      </x:c>
      <x:c r="F152" s="18" t="n">
        <x:v>45</x:v>
      </x:c>
      <x:c r="G152" s="17" t="n">
        <x:v>105</x:v>
      </x:c>
      <x:c r="H152" s="14" t="str">
        <x:v>per service</x:v>
      </x:c>
      <x:c r="I152" s="14" t="str">
        <x:v>Inclusive of 5% VAT</x:v>
      </x:c>
      <x:c r="J152" s="19" t="str">
        <x:v>https://bedashingbeauty.com/service/nails/</x:v>
      </x:c>
      <x:c r="K152" s="14" t="str">
        <x:v>2026-09-03</x:v>
      </x:c>
      <x:c r="L152" s="14" t="str">
        <x:v>Official Bedashing website</x:v>
      </x:c>
      <x:c r="M152" s="14" t="str">
        <x:v>OK</x:v>
      </x:c>
      <x:c r="N152" s="20" t="str"/>
    </x:row>
    <x:row r="153" ht="15" hidden="0" customHeight="1">
      <x:c r="A153" s="14" t="str">
        <x:v>SVC-0152</x:v>
      </x:c>
      <x:c r="B153" s="14" t="str">
        <x:v>Nails</x:v>
      </x:c>
      <x:c r="C153" s="14" t="str">
        <x:v>Nail Essentials</x:v>
      </x:c>
      <x:c r="D153" s="14" t="str">
        <x:v>File Pedicure</x:v>
      </x:c>
      <x:c r="E153" s="14" t="str">
        <x:v>Standard</x:v>
      </x:c>
      <x:c r="F153" s="18" t="n">
        <x:v>60</x:v>
      </x:c>
      <x:c r="G153" s="17" t="n">
        <x:v>115</x:v>
      </x:c>
      <x:c r="H153" s="14" t="str">
        <x:v>per service</x:v>
      </x:c>
      <x:c r="I153" s="14" t="str">
        <x:v>Inclusive of 5% VAT</x:v>
      </x:c>
      <x:c r="J153" s="19" t="str">
        <x:v>https://bedashingbeauty.com/service/nails/</x:v>
      </x:c>
      <x:c r="K153" s="14" t="str">
        <x:v>2026-09-03</x:v>
      </x:c>
      <x:c r="L153" s="14" t="str">
        <x:v>Official Bedashing website</x:v>
      </x:c>
      <x:c r="M153" s="14" t="str">
        <x:v>OK</x:v>
      </x:c>
      <x:c r="N153" s="20" t="str"/>
    </x:row>
    <x:row r="154" ht="15" hidden="0" customHeight="1">
      <x:c r="A154" s="14" t="str">
        <x:v>SVC-0153</x:v>
      </x:c>
      <x:c r="B154" s="14" t="str">
        <x:v>Nails</x:v>
      </x:c>
      <x:c r="C154" s="14" t="str">
        <x:v>Nail Essentials</x:v>
      </x:c>
      <x:c r="D154" s="14" t="str">
        <x:v>Manicure</x:v>
      </x:c>
      <x:c r="E154" s="14" t="str">
        <x:v>Standard</x:v>
      </x:c>
      <x:c r="F154" s="18" t="n">
        <x:v>30</x:v>
      </x:c>
      <x:c r="G154" s="17" t="n">
        <x:v>85</x:v>
      </x:c>
      <x:c r="H154" s="14" t="str">
        <x:v>per service</x:v>
      </x:c>
      <x:c r="I154" s="14" t="str">
        <x:v>Inclusive of 5% VAT</x:v>
      </x:c>
      <x:c r="J154" s="19" t="str">
        <x:v>https://bedashingbeauty.com/service/nails/</x:v>
      </x:c>
      <x:c r="K154" s="14" t="str">
        <x:v>2026-09-03</x:v>
      </x:c>
      <x:c r="L154" s="14" t="str">
        <x:v>Official Bedashing website</x:v>
      </x:c>
      <x:c r="M154" s="14" t="str">
        <x:v>OK</x:v>
      </x:c>
      <x:c r="N154" s="20" t="str"/>
    </x:row>
    <x:row r="155" ht="15" hidden="0" customHeight="1">
      <x:c r="A155" s="14" t="str">
        <x:v>SVC-0154</x:v>
      </x:c>
      <x:c r="B155" s="14" t="str">
        <x:v>Nails</x:v>
      </x:c>
      <x:c r="C155" s="14" t="str">
        <x:v>Nail Essentials</x:v>
      </x:c>
      <x:c r="D155" s="14" t="str">
        <x:v>Pedicure</x:v>
      </x:c>
      <x:c r="E155" s="14" t="str">
        <x:v>Standard</x:v>
      </x:c>
      <x:c r="F155" s="18" t="n">
        <x:v>45</x:v>
      </x:c>
      <x:c r="G155" s="17" t="n">
        <x:v>95</x:v>
      </x:c>
      <x:c r="H155" s="14" t="str">
        <x:v>per service</x:v>
      </x:c>
      <x:c r="I155" s="14" t="str">
        <x:v>Inclusive of 5% VAT</x:v>
      </x:c>
      <x:c r="J155" s="19" t="str">
        <x:v>https://bedashingbeauty.com/service/nails/</x:v>
      </x:c>
      <x:c r="K155" s="14" t="str">
        <x:v>2026-09-03</x:v>
      </x:c>
      <x:c r="L155" s="14" t="str">
        <x:v>Official Bedashing website</x:v>
      </x:c>
      <x:c r="M155" s="14" t="str">
        <x:v>OK</x:v>
      </x:c>
      <x:c r="N155" s="20" t="str"/>
    </x:row>
    <x:row r="156" ht="15" hidden="0" customHeight="1">
      <x:c r="A156" s="14" t="str">
        <x:v>SVC-0155</x:v>
      </x:c>
      <x:c r="B156" s="14" t="str">
        <x:v>Nails</x:v>
      </x:c>
      <x:c r="C156" s="14" t="str">
        <x:v>Nail Essentials</x:v>
      </x:c>
      <x:c r="D156" s="14" t="str">
        <x:v>Russian Manicure</x:v>
      </x:c>
      <x:c r="E156" s="14" t="str">
        <x:v>Standard</x:v>
      </x:c>
      <x:c r="F156" s="18" t="n">
        <x:v>45</x:v>
      </x:c>
      <x:c r="G156" s="17" t="n">
        <x:v>152</x:v>
      </x:c>
      <x:c r="H156" s="14" t="str">
        <x:v>per service</x:v>
      </x:c>
      <x:c r="I156" s="14" t="str">
        <x:v>Inclusive of 5% VAT</x:v>
      </x:c>
      <x:c r="J156" s="19" t="str">
        <x:v>https://bedashingbeauty.com/service/nails/</x:v>
      </x:c>
      <x:c r="K156" s="14" t="str">
        <x:v>2026-09-03</x:v>
      </x:c>
      <x:c r="L156" s="14" t="str">
        <x:v>Official Bedashing website</x:v>
      </x:c>
      <x:c r="M156" s="14" t="str">
        <x:v>OK</x:v>
      </x:c>
      <x:c r="N156" s="20" t="str"/>
    </x:row>
    <x:row r="157" ht="15" hidden="0" customHeight="1">
      <x:c r="A157" s="14" t="str">
        <x:v>SVC-0156</x:v>
      </x:c>
      <x:c r="B157" s="14" t="str">
        <x:v>Nails</x:v>
      </x:c>
      <x:c r="C157" s="14" t="str">
        <x:v>Nail Essentials</x:v>
      </x:c>
      <x:c r="D157" s="14" t="str">
        <x:v>Russian Pedicure</x:v>
      </x:c>
      <x:c r="E157" s="14" t="str">
        <x:v>Standard</x:v>
      </x:c>
      <x:c r="F157" s="18" t="n">
        <x:v>60</x:v>
      </x:c>
      <x:c r="G157" s="17" t="n">
        <x:v>160</x:v>
      </x:c>
      <x:c r="H157" s="14" t="str">
        <x:v>per service</x:v>
      </x:c>
      <x:c r="I157" s="14" t="str">
        <x:v>Inclusive of 5% VAT</x:v>
      </x:c>
      <x:c r="J157" s="19" t="str">
        <x:v>https://bedashingbeauty.com/service/nails/</x:v>
      </x:c>
      <x:c r="K157" s="14" t="str">
        <x:v>2026-09-03</x:v>
      </x:c>
      <x:c r="L157" s="14" t="str">
        <x:v>Official Bedashing website</x:v>
      </x:c>
      <x:c r="M157" s="14" t="str">
        <x:v>OK</x:v>
      </x:c>
      <x:c r="N157" s="20" t="str"/>
    </x:row>
    <x:row r="158" ht="15" hidden="0" customHeight="1">
      <x:c r="A158" s="14" t="str">
        <x:v>SVC-0157</x:v>
      </x:c>
      <x:c r="B158" s="14" t="str">
        <x:v>Nails</x:v>
      </x:c>
      <x:c r="C158" s="14" t="str">
        <x:v>Nail Essentials</x:v>
      </x:c>
      <x:c r="D158" s="14" t="str">
        <x:v>Manicure Gel</x:v>
      </x:c>
      <x:c r="E158" s="14" t="str">
        <x:v>Standard</x:v>
      </x:c>
      <x:c r="F158" s="18" t="n">
        <x:v>60</x:v>
      </x:c>
      <x:c r="G158" s="17" t="n">
        <x:v>135</x:v>
      </x:c>
      <x:c r="H158" s="14" t="str">
        <x:v>per service</x:v>
      </x:c>
      <x:c r="I158" s="14" t="str">
        <x:v>Inclusive of 5% VAT</x:v>
      </x:c>
      <x:c r="J158" s="19" t="str">
        <x:v>https://bedashingbeauty.com/service/nails/</x:v>
      </x:c>
      <x:c r="K158" s="14" t="str">
        <x:v>2026-09-03</x:v>
      </x:c>
      <x:c r="L158" s="14" t="str">
        <x:v>Official Bedashing website</x:v>
      </x:c>
      <x:c r="M158" s="14" t="str">
        <x:v>OK</x:v>
      </x:c>
      <x:c r="N158" s="20" t="str"/>
    </x:row>
    <x:row r="159" ht="15" hidden="0" customHeight="1">
      <x:c r="A159" s="14" t="str">
        <x:v>SVC-0158</x:v>
      </x:c>
      <x:c r="B159" s="14" t="str">
        <x:v>Nails</x:v>
      </x:c>
      <x:c r="C159" s="14" t="str">
        <x:v>Nail Essentials</x:v>
      </x:c>
      <x:c r="D159" s="14" t="str">
        <x:v>Pedicure Gel</x:v>
      </x:c>
      <x:c r="E159" s="14" t="str">
        <x:v>Standard</x:v>
      </x:c>
      <x:c r="F159" s="18" t="n">
        <x:v>75</x:v>
      </x:c>
      <x:c r="G159" s="17" t="n">
        <x:v>155</x:v>
      </x:c>
      <x:c r="H159" s="14" t="str">
        <x:v>per service</x:v>
      </x:c>
      <x:c r="I159" s="14" t="str">
        <x:v>Inclusive of 5% VAT</x:v>
      </x:c>
      <x:c r="J159" s="19" t="str">
        <x:v>https://bedashingbeauty.com/service/nails/</x:v>
      </x:c>
      <x:c r="K159" s="14" t="str">
        <x:v>2026-09-03</x:v>
      </x:c>
      <x:c r="L159" s="14" t="str">
        <x:v>Official Bedashing website</x:v>
      </x:c>
      <x:c r="M159" s="14" t="str">
        <x:v>OK</x:v>
      </x:c>
      <x:c r="N159" s="20" t="str"/>
    </x:row>
    <x:row r="160" ht="15" hidden="0" customHeight="1">
      <x:c r="A160" s="14" t="str">
        <x:v>SVC-0159</x:v>
      </x:c>
      <x:c r="B160" s="14" t="str">
        <x:v>Nails</x:v>
      </x:c>
      <x:c r="C160" s="14" t="str">
        <x:v>Nail Essentials</x:v>
      </x:c>
      <x:c r="D160" s="14" t="str">
        <x:v>Gel Removal</x:v>
      </x:c>
      <x:c r="E160" s="14" t="str">
        <x:v>Standard</x:v>
      </x:c>
      <x:c r="F160" s="18" t="n">
        <x:v>15</x:v>
      </x:c>
      <x:c r="G160" s="17" t="n">
        <x:v>37</x:v>
      </x:c>
      <x:c r="H160" s="14" t="str">
        <x:v>per service</x:v>
      </x:c>
      <x:c r="I160" s="14" t="str">
        <x:v>Inclusive of 5% VAT</x:v>
      </x:c>
      <x:c r="J160" s="19" t="str">
        <x:v>https://bedashingbeauty.com/service/nails/</x:v>
      </x:c>
      <x:c r="K160" s="14" t="str">
        <x:v>2026-09-03</x:v>
      </x:c>
      <x:c r="L160" s="14" t="str">
        <x:v>Official Bedashing website</x:v>
      </x:c>
      <x:c r="M160" s="14" t="str">
        <x:v>OK</x:v>
      </x:c>
      <x:c r="N160" s="20" t="str"/>
    </x:row>
    <x:row r="161" ht="15" hidden="0" customHeight="1">
      <x:c r="A161" s="14" t="str">
        <x:v>SVC-0160</x:v>
      </x:c>
      <x:c r="B161" s="14" t="str">
        <x:v>Nails</x:v>
      </x:c>
      <x:c r="C161" s="14" t="str">
        <x:v>Nail Essentials</x:v>
      </x:c>
      <x:c r="D161" s="14" t="str">
        <x:v>Stick-on Nails Set</x:v>
      </x:c>
      <x:c r="E161" s="14" t="str">
        <x:v>Standard</x:v>
      </x:c>
      <x:c r="F161" s="18" t="n">
        <x:v>60</x:v>
      </x:c>
      <x:c r="G161" s="17" t="n">
        <x:v>120</x:v>
      </x:c>
      <x:c r="H161" s="14" t="str">
        <x:v>per service</x:v>
      </x:c>
      <x:c r="I161" s="14" t="str">
        <x:v>Inclusive of 5% VAT</x:v>
      </x:c>
      <x:c r="J161" s="19" t="str">
        <x:v>https://bedashingbeauty.com/service/nails/</x:v>
      </x:c>
      <x:c r="K161" s="14" t="str">
        <x:v>2026-09-03</x:v>
      </x:c>
      <x:c r="L161" s="14" t="str">
        <x:v>Official Bedashing website</x:v>
      </x:c>
      <x:c r="M161" s="14" t="str">
        <x:v>OK</x:v>
      </x:c>
      <x:c r="N161" s="20" t="str"/>
    </x:row>
    <x:row r="162" ht="15" hidden="0" customHeight="1">
      <x:c r="A162" s="14" t="str">
        <x:v>SVC-0161</x:v>
      </x:c>
      <x:c r="B162" s="14" t="str">
        <x:v>Nails</x:v>
      </x:c>
      <x:c r="C162" s="14" t="str">
        <x:v>Nail Essentials</x:v>
      </x:c>
      <x:c r="D162" s="14" t="str">
        <x:v>LP Refill/Overlay</x:v>
      </x:c>
      <x:c r="E162" s="14" t="str">
        <x:v>Standard</x:v>
      </x:c>
      <x:c r="F162" s="18" t="n">
        <x:v>90</x:v>
      </x:c>
      <x:c r="G162" s="17" t="n">
        <x:v>220</x:v>
      </x:c>
      <x:c r="H162" s="14" t="str">
        <x:v>per service</x:v>
      </x:c>
      <x:c r="I162" s="14" t="str">
        <x:v>Inclusive of 5% VAT</x:v>
      </x:c>
      <x:c r="J162" s="19" t="str">
        <x:v>https://bedashingbeauty.com/service/nails/</x:v>
      </x:c>
      <x:c r="K162" s="14" t="str">
        <x:v>2026-09-03</x:v>
      </x:c>
      <x:c r="L162" s="14" t="str">
        <x:v>Official Bedashing website</x:v>
      </x:c>
      <x:c r="M162" s="14" t="str">
        <x:v>OK</x:v>
      </x:c>
      <x:c r="N162" s="20" t="str"/>
    </x:row>
    <x:row r="163" ht="15" hidden="0" customHeight="1">
      <x:c r="A163" s="14" t="str">
        <x:v>SVC-0162</x:v>
      </x:c>
      <x:c r="B163" s="14" t="str">
        <x:v>Nails</x:v>
      </x:c>
      <x:c r="C163" s="14" t="str">
        <x:v>Nail Essentials</x:v>
      </x:c>
      <x:c r="D163" s="14" t="str">
        <x:v>Plexigel Refill</x:v>
      </x:c>
      <x:c r="E163" s="14" t="str">
        <x:v>Standard</x:v>
      </x:c>
      <x:c r="F163" s="18" t="n">
        <x:v>90</x:v>
      </x:c>
      <x:c r="G163" s="17" t="n">
        <x:v>220</x:v>
      </x:c>
      <x:c r="H163" s="14" t="str">
        <x:v>per service</x:v>
      </x:c>
      <x:c r="I163" s="14" t="str">
        <x:v>Inclusive of 5% VAT</x:v>
      </x:c>
      <x:c r="J163" s="19" t="str">
        <x:v>https://bedashingbeauty.com/service/nails/</x:v>
      </x:c>
      <x:c r="K163" s="14" t="str">
        <x:v>2026-09-03</x:v>
      </x:c>
      <x:c r="L163" s="14" t="str">
        <x:v>Official Bedashing website</x:v>
      </x:c>
      <x:c r="M163" s="14" t="str">
        <x:v>OK</x:v>
      </x:c>
      <x:c r="N163" s="20" t="str"/>
    </x:row>
    <x:row r="164" ht="15" hidden="0" customHeight="1">
      <x:c r="A164" s="14" t="str">
        <x:v>SVC-0163</x:v>
      </x:c>
      <x:c r="B164" s="14" t="str">
        <x:v>Nails</x:v>
      </x:c>
      <x:c r="C164" s="14" t="str">
        <x:v>Nail Essentials</x:v>
      </x:c>
      <x:c r="D164" s="14" t="str">
        <x:v>Plexigel Overlay</x:v>
      </x:c>
      <x:c r="E164" s="14" t="str">
        <x:v>Standard</x:v>
      </x:c>
      <x:c r="F164" s="18" t="n">
        <x:v>100</x:v>
      </x:c>
      <x:c r="G164" s="17" t="n">
        <x:v>220</x:v>
      </x:c>
      <x:c r="H164" s="14" t="str">
        <x:v>per service</x:v>
      </x:c>
      <x:c r="I164" s="14" t="str">
        <x:v>Inclusive of 5% VAT</x:v>
      </x:c>
      <x:c r="J164" s="19" t="str">
        <x:v>https://bedashingbeauty.com/service/nails/</x:v>
      </x:c>
      <x:c r="K164" s="14" t="str">
        <x:v>2026-09-03</x:v>
      </x:c>
      <x:c r="L164" s="14" t="str">
        <x:v>Official Bedashing website</x:v>
      </x:c>
      <x:c r="M164" s="14" t="str">
        <x:v>OK</x:v>
      </x:c>
      <x:c r="N164" s="20" t="str"/>
    </x:row>
    <x:row r="165" ht="15" hidden="0" customHeight="1">
      <x:c r="A165" s="14" t="str">
        <x:v>SVC-0164</x:v>
      </x:c>
      <x:c r="B165" s="14" t="str">
        <x:v>Nails</x:v>
      </x:c>
      <x:c r="C165" s="14" t="str">
        <x:v>Nail Essentials</x:v>
      </x:c>
      <x:c r="D165" s="14" t="str">
        <x:v>Extension Removal &amp; Manicure</x:v>
      </x:c>
      <x:c r="E165" s="14" t="str">
        <x:v>Standard</x:v>
      </x:c>
      <x:c r="F165" s="18" t="n">
        <x:v>70</x:v>
      </x:c>
      <x:c r="G165" s="17" t="n">
        <x:v>120</x:v>
      </x:c>
      <x:c r="H165" s="14" t="str">
        <x:v>per service</x:v>
      </x:c>
      <x:c r="I165" s="14" t="str">
        <x:v>Inclusive of 5% VAT</x:v>
      </x:c>
      <x:c r="J165" s="19" t="str">
        <x:v>https://bedashingbeauty.com/service/nails/</x:v>
      </x:c>
      <x:c r="K165" s="14" t="str">
        <x:v>2026-09-03</x:v>
      </x:c>
      <x:c r="L165" s="14" t="str">
        <x:v>Official Bedashing website</x:v>
      </x:c>
      <x:c r="M165" s="14" t="str">
        <x:v>OK</x:v>
      </x:c>
      <x:c r="N165" s="20" t="str"/>
    </x:row>
    <x:row r="166" ht="15" hidden="0" customHeight="1">
      <x:c r="A166" s="14" t="str">
        <x:v>SVC-0165</x:v>
      </x:c>
      <x:c r="B166" s="14" t="str">
        <x:v>Nails</x:v>
      </x:c>
      <x:c r="C166" s="14" t="str">
        <x:v>Nail Essentials</x:v>
      </x:c>
      <x:c r="D166" s="14" t="str">
        <x:v>Shape &amp; Polish Change</x:v>
      </x:c>
      <x:c r="E166" s="14" t="str">
        <x:v>Standard</x:v>
      </x:c>
      <x:c r="F166" s="18" t="n">
        <x:v>20</x:v>
      </x:c>
      <x:c r="G166" s="17" t="n">
        <x:v>60</x:v>
      </x:c>
      <x:c r="H166" s="14" t="str">
        <x:v>per service</x:v>
      </x:c>
      <x:c r="I166" s="14" t="str">
        <x:v>Inclusive of 5% VAT</x:v>
      </x:c>
      <x:c r="J166" s="19" t="str">
        <x:v>https://bedashingbeauty.com/service/nails/</x:v>
      </x:c>
      <x:c r="K166" s="14" t="str">
        <x:v>2026-09-03</x:v>
      </x:c>
      <x:c r="L166" s="14" t="str">
        <x:v>Official Bedashing website</x:v>
      </x:c>
      <x:c r="M166" s="14" t="str">
        <x:v>OK</x:v>
      </x:c>
      <x:c r="N166" s="20" t="str"/>
    </x:row>
    <x:row r="167" ht="15" hidden="0" customHeight="1">
      <x:c r="A167" s="14" t="str">
        <x:v>SVC-0166</x:v>
      </x:c>
      <x:c r="B167" s="14" t="str">
        <x:v>Nails</x:v>
      </x:c>
      <x:c r="C167" s="14" t="str">
        <x:v>Add-ons</x:v>
      </x:c>
      <x:c r="D167" s="14" t="str">
        <x:v>Head, Neck &amp; Shoulder Massage</x:v>
      </x:c>
      <x:c r="E167" s="14" t="str">
        <x:v>Standard</x:v>
      </x:c>
      <x:c r="F167" s="18" t="n">
        <x:v>20</x:v>
      </x:c>
      <x:c r="G167" s="17" t="n">
        <x:v>85</x:v>
      </x:c>
      <x:c r="H167" s="14" t="str">
        <x:v>add-on</x:v>
      </x:c>
      <x:c r="I167" s="14" t="str">
        <x:v>Inclusive of 5% VAT</x:v>
      </x:c>
      <x:c r="J167" s="19" t="str">
        <x:v>https://bedashingbeauty.com/service/nails/</x:v>
      </x:c>
      <x:c r="K167" s="14" t="str">
        <x:v>2026-09-03</x:v>
      </x:c>
      <x:c r="L167" s="14" t="str">
        <x:v>Official Bedashing website</x:v>
      </x:c>
      <x:c r="M167" s="14" t="str">
        <x:v>OK</x:v>
      </x:c>
      <x:c r="N167" s="20" t="str"/>
    </x:row>
    <x:row r="168" ht="15" hidden="0" customHeight="1">
      <x:c r="A168" s="14" t="str">
        <x:v>SVC-0167</x:v>
      </x:c>
      <x:c r="B168" s="14" t="str">
        <x:v>Nails</x:v>
      </x:c>
      <x:c r="C168" s="14" t="str">
        <x:v>Add-ons</x:v>
      </x:c>
      <x:c r="D168" s="14" t="str">
        <x:v>Foot &amp; Lower Leg Massage</x:v>
      </x:c>
      <x:c r="E168" s="14" t="str">
        <x:v>Standard</x:v>
      </x:c>
      <x:c r="F168" s="18" t="n">
        <x:v>20</x:v>
      </x:c>
      <x:c r="G168" s="17" t="n">
        <x:v>85</x:v>
      </x:c>
      <x:c r="H168" s="14" t="str">
        <x:v>add-on</x:v>
      </x:c>
      <x:c r="I168" s="14" t="str">
        <x:v>Inclusive of 5% VAT</x:v>
      </x:c>
      <x:c r="J168" s="19" t="str">
        <x:v>https://bedashingbeauty.com/service/nails/</x:v>
      </x:c>
      <x:c r="K168" s="14" t="str">
        <x:v>2026-09-03</x:v>
      </x:c>
      <x:c r="L168" s="14" t="str">
        <x:v>Official Bedashing website</x:v>
      </x:c>
      <x:c r="M168" s="14" t="str">
        <x:v>OK</x:v>
      </x:c>
      <x:c r="N168" s="20" t="str"/>
    </x:row>
    <x:row r="169" ht="15" hidden="0" customHeight="1">
      <x:c r="A169" s="14" t="str">
        <x:v>SVC-0168</x:v>
      </x:c>
      <x:c r="B169" s="14" t="str">
        <x:v>Nails</x:v>
      </x:c>
      <x:c r="C169" s="14" t="str">
        <x:v>Add-ons</x:v>
      </x:c>
      <x:c r="D169" s="14" t="str">
        <x:v>Gelish</x:v>
      </x:c>
      <x:c r="E169" s="14" t="str">
        <x:v>Standard</x:v>
      </x:c>
      <x:c r="F169" s="18" t="n">
        <x:v>20</x:v>
      </x:c>
      <x:c r="G169" s="17" t="n">
        <x:v>52.5</x:v>
      </x:c>
      <x:c r="H169" s="14" t="str">
        <x:v>add-on</x:v>
      </x:c>
      <x:c r="I169" s="14" t="str">
        <x:v>Inclusive of 5% VAT</x:v>
      </x:c>
      <x:c r="J169" s="19" t="str">
        <x:v>https://bedashingbeauty.com/service/nails/</x:v>
      </x:c>
      <x:c r="K169" s="14" t="str">
        <x:v>2026-09-03</x:v>
      </x:c>
      <x:c r="L169" s="14" t="str">
        <x:v>Official Bedashing website</x:v>
      </x:c>
      <x:c r="M169" s="14" t="str">
        <x:v>OK</x:v>
      </x:c>
      <x:c r="N169" s="20" t="str"/>
    </x:row>
    <x:row r="170" ht="15" hidden="0" customHeight="1">
      <x:c r="A170" s="14" t="str">
        <x:v>SVC-0169</x:v>
      </x:c>
      <x:c r="B170" s="14" t="str">
        <x:v>Nails</x:v>
      </x:c>
      <x:c r="C170" s="14" t="str">
        <x:v>Add-ons</x:v>
      </x:c>
      <x:c r="D170" s="14" t="str">
        <x:v>French Gel</x:v>
      </x:c>
      <x:c r="E170" s="14" t="str">
        <x:v>Standard</x:v>
      </x:c>
      <x:c r="F170" s="18" t="n">
        <x:v>15</x:v>
      </x:c>
      <x:c r="G170" s="17" t="n">
        <x:v>21</x:v>
      </x:c>
      <x:c r="H170" s="14" t="str">
        <x:v>add-on</x:v>
      </x:c>
      <x:c r="I170" s="14" t="str">
        <x:v>Inclusive of 5% VAT</x:v>
      </x:c>
      <x:c r="J170" s="19" t="str">
        <x:v>https://bedashingbeauty.com/service/nails/</x:v>
      </x:c>
      <x:c r="K170" s="14" t="str">
        <x:v>2026-09-03</x:v>
      </x:c>
      <x:c r="L170" s="14" t="str">
        <x:v>Official Bedashing website</x:v>
      </x:c>
      <x:c r="M170" s="14" t="str">
        <x:v>OK</x:v>
      </x:c>
      <x:c r="N170" s="20" t="str"/>
    </x:row>
    <x:row r="171" ht="15" hidden="0" customHeight="1">
      <x:c r="A171" s="14" t="str">
        <x:v>SVC-0170</x:v>
      </x:c>
      <x:c r="B171" s="14" t="str">
        <x:v>Nails</x:v>
      </x:c>
      <x:c r="C171" s="14" t="str">
        <x:v>Add-ons</x:v>
      </x:c>
      <x:c r="D171" s="14" t="str">
        <x:v>French Regular</x:v>
      </x:c>
      <x:c r="E171" s="14" t="str">
        <x:v>Standard</x:v>
      </x:c>
      <x:c r="F171" s="18" t="n">
        <x:v>10</x:v>
      </x:c>
      <x:c r="G171" s="17" t="n">
        <x:v>10.5</x:v>
      </x:c>
      <x:c r="H171" s="14" t="str">
        <x:v>add-on</x:v>
      </x:c>
      <x:c r="I171" s="14" t="str">
        <x:v>Inclusive of 5% VAT</x:v>
      </x:c>
      <x:c r="J171" s="19" t="str">
        <x:v>https://bedashingbeauty.com/service/nails/</x:v>
      </x:c>
      <x:c r="K171" s="14" t="str">
        <x:v>2026-09-03</x:v>
      </x:c>
      <x:c r="L171" s="14" t="str">
        <x:v>Official Bedashing website</x:v>
      </x:c>
      <x:c r="M171" s="14" t="str">
        <x:v>OK</x:v>
      </x:c>
      <x:c r="N171" s="20" t="str"/>
    </x:row>
    <x:row r="172" ht="15" hidden="0" customHeight="1">
      <x:c r="A172" s="14" t="str">
        <x:v>SVC-0171</x:v>
      </x:c>
      <x:c r="B172" s="14" t="str">
        <x:v>Nails</x:v>
      </x:c>
      <x:c r="C172" s="14" t="str">
        <x:v>Add-ons</x:v>
      </x:c>
      <x:c r="D172" s="14" t="str">
        <x:v>Special Effects</x:v>
      </x:c>
      <x:c r="E172" s="14" t="str">
        <x:v>Standard</x:v>
      </x:c>
      <x:c r="F172" s="18" t="n">
        <x:v>20</x:v>
      </x:c>
      <x:c r="G172" s="17" t="n">
        <x:v>105</x:v>
      </x:c>
      <x:c r="H172" s="14" t="str">
        <x:v>add-on</x:v>
      </x:c>
      <x:c r="I172" s="14" t="str">
        <x:v>Inclusive of 5% VAT</x:v>
      </x:c>
      <x:c r="J172" s="19" t="str">
        <x:v>https://bedashingbeauty.com/service/nails/</x:v>
      </x:c>
      <x:c r="K172" s="14" t="str">
        <x:v>2026-09-03</x:v>
      </x:c>
      <x:c r="L172" s="14" t="str">
        <x:v>Official Bedashing website</x:v>
      </x:c>
      <x:c r="M172" s="14" t="str">
        <x:v>OK</x:v>
      </x:c>
      <x:c r="N172" s="20" t="str"/>
    </x:row>
    <x:row r="173" ht="15" hidden="0" customHeight="1">
      <x:c r="A173" s="14" t="str">
        <x:v>SVC-0172</x:v>
      </x:c>
      <x:c r="B173" s="14" t="str">
        <x:v>Nails</x:v>
      </x:c>
      <x:c r="C173" s="14" t="str">
        <x:v>Add-ons</x:v>
      </x:c>
      <x:c r="D173" s="14" t="str">
        <x:v>Nail Art</x:v>
      </x:c>
      <x:c r="E173" s="14" t="str">
        <x:v>Standard</x:v>
      </x:c>
      <x:c r="F173" s="18" t="n">
        <x:v>10</x:v>
      </x:c>
      <x:c r="G173" s="17" t="n">
        <x:v>10.5</x:v>
      </x:c>
      <x:c r="H173" s="14" t="str">
        <x:v>per nail</x:v>
      </x:c>
      <x:c r="I173" s="14" t="str">
        <x:v>Inclusive of 5% VAT</x:v>
      </x:c>
      <x:c r="J173" s="19" t="str">
        <x:v>https://bedashingbeauty.com/service/nails/</x:v>
      </x:c>
      <x:c r="K173" s="14" t="str">
        <x:v>2026-09-03</x:v>
      </x:c>
      <x:c r="L173" s="14" t="str">
        <x:v>Official Bedashing website</x:v>
      </x:c>
      <x:c r="M173" s="14" t="str">
        <x:v>OK</x:v>
      </x:c>
      <x:c r="N173" s="20" t="str"/>
    </x:row>
    <x:row r="174" ht="15" hidden="0" customHeight="1">
      <x:c r="A174" s="14" t="str">
        <x:v>SVC-0173</x:v>
      </x:c>
      <x:c r="B174" s="14" t="str">
        <x:v>Nails</x:v>
      </x:c>
      <x:c r="C174" s="14" t="str">
        <x:v>Add-ons</x:v>
      </x:c>
      <x:c r="D174" s="14" t="str">
        <x:v>Apex Add-on</x:v>
      </x:c>
      <x:c r="E174" s="14" t="str">
        <x:v>Standard</x:v>
      </x:c>
      <x:c r="F174" s="18" t="n">
        <x:v>60</x:v>
      </x:c>
      <x:c r="G174" s="17" t="n">
        <x:v>52.5</x:v>
      </x:c>
      <x:c r="H174" s="14" t="str">
        <x:v>add-on</x:v>
      </x:c>
      <x:c r="I174" s="14" t="str">
        <x:v>Inclusive of 5% VAT</x:v>
      </x:c>
      <x:c r="J174" s="19" t="str">
        <x:v>https://bedashingbeauty.com/service/nails/</x:v>
      </x:c>
      <x:c r="K174" s="14" t="str">
        <x:v>2026-09-03</x:v>
      </x:c>
      <x:c r="L174" s="14" t="str">
        <x:v>Official Bedashing website</x:v>
      </x:c>
      <x:c r="M174" s="14" t="str">
        <x:v>OK</x:v>
      </x:c>
      <x:c r="N174" s="20" t="str"/>
    </x:row>
    <x:row r="175" ht="15" hidden="0" customHeight="1">
      <x:c r="A175" s="14" t="str">
        <x:v>SVC-0174</x:v>
      </x:c>
      <x:c r="B175" s="14" t="str">
        <x:v>Nails</x:v>
      </x:c>
      <x:c r="C175" s="14" t="str">
        <x:v>Nail Enhancement</x:v>
      </x:c>
      <x:c r="D175" s="14" t="str">
        <x:v>LP Full Set</x:v>
      </x:c>
      <x:c r="E175" s="14" t="str">
        <x:v>Standard</x:v>
      </x:c>
      <x:c r="F175" s="18" t="n">
        <x:v>120</x:v>
      </x:c>
      <x:c r="G175" s="17" t="n">
        <x:v>336</x:v>
      </x:c>
      <x:c r="H175" s="14" t="str">
        <x:v>per set</x:v>
      </x:c>
      <x:c r="I175" s="14" t="str">
        <x:v>Inclusive of 5% VAT</x:v>
      </x:c>
      <x:c r="J175" s="19" t="str">
        <x:v>https://bedashingbeauty.com/service/nails/</x:v>
      </x:c>
      <x:c r="K175" s="14" t="str">
        <x:v>2026-09-03</x:v>
      </x:c>
      <x:c r="L175" s="14" t="str">
        <x:v>Official Bedashing website</x:v>
      </x:c>
      <x:c r="M175" s="14" t="str">
        <x:v>OK</x:v>
      </x:c>
      <x:c r="N175" s="20" t="str"/>
    </x:row>
    <x:row r="176" ht="15" hidden="0" customHeight="1">
      <x:c r="A176" s="14" t="str">
        <x:v>SVC-0175</x:v>
      </x:c>
      <x:c r="B176" s="14" t="str">
        <x:v>Nails</x:v>
      </x:c>
      <x:c r="C176" s="14" t="str">
        <x:v>Nail Enhancement</x:v>
      </x:c>
      <x:c r="D176" s="14" t="str">
        <x:v>LP French</x:v>
      </x:c>
      <x:c r="E176" s="14" t="str">
        <x:v>Standard</x:v>
      </x:c>
      <x:c r="F176" s="18" t="n">
        <x:v>120</x:v>
      </x:c>
      <x:c r="G176" s="17" t="n">
        <x:v>389</x:v>
      </x:c>
      <x:c r="H176" s="14" t="str">
        <x:v>per set</x:v>
      </x:c>
      <x:c r="I176" s="14" t="str">
        <x:v>Inclusive of 5% VAT</x:v>
      </x:c>
      <x:c r="J176" s="19" t="str">
        <x:v>https://bedashingbeauty.com/service/nails/</x:v>
      </x:c>
      <x:c r="K176" s="14" t="str">
        <x:v>2026-09-03</x:v>
      </x:c>
      <x:c r="L176" s="14" t="str">
        <x:v>Official Bedashing website</x:v>
      </x:c>
      <x:c r="M176" s="14" t="str">
        <x:v>OK</x:v>
      </x:c>
      <x:c r="N176" s="20" t="str"/>
    </x:row>
    <x:row r="177" ht="15" hidden="0" customHeight="1">
      <x:c r="A177" s="14" t="str">
        <x:v>SVC-0176</x:v>
      </x:c>
      <x:c r="B177" s="14" t="str">
        <x:v>Nails</x:v>
      </x:c>
      <x:c r="C177" s="14" t="str">
        <x:v>Nail Enhancement</x:v>
      </x:c>
      <x:c r="D177" s="14" t="str">
        <x:v>LP Refill/Overlay</x:v>
      </x:c>
      <x:c r="E177" s="14" t="str">
        <x:v>Standard</x:v>
      </x:c>
      <x:c r="F177" s="18" t="n">
        <x:v>90</x:v>
      </x:c>
      <x:c r="G177" s="17" t="n">
        <x:v>220</x:v>
      </x:c>
      <x:c r="H177" s="14" t="str">
        <x:v>per set</x:v>
      </x:c>
      <x:c r="I177" s="14" t="str">
        <x:v>Inclusive of 5% VAT</x:v>
      </x:c>
      <x:c r="J177" s="19" t="str">
        <x:v>https://bedashingbeauty.com/service/nails/</x:v>
      </x:c>
      <x:c r="K177" s="14" t="str">
        <x:v>2026-09-03</x:v>
      </x:c>
      <x:c r="L177" s="14" t="str">
        <x:v>Official Bedashing website</x:v>
      </x:c>
      <x:c r="M177" s="14" t="str">
        <x:v>OK</x:v>
      </x:c>
      <x:c r="N177" s="20" t="str"/>
    </x:row>
    <x:row r="178" ht="15" hidden="0" customHeight="1">
      <x:c r="A178" s="14" t="str">
        <x:v>SVC-0177</x:v>
      </x:c>
      <x:c r="B178" s="14" t="str">
        <x:v>Nails</x:v>
      </x:c>
      <x:c r="C178" s="14" t="str">
        <x:v>Nail Enhancement</x:v>
      </x:c>
      <x:c r="D178" s="14" t="str">
        <x:v>Plexigel Full Set</x:v>
      </x:c>
      <x:c r="E178" s="14" t="str">
        <x:v>Standard</x:v>
      </x:c>
      <x:c r="F178" s="18" t="n">
        <x:v>120</x:v>
      </x:c>
      <x:c r="G178" s="17" t="n">
        <x:v>336</x:v>
      </x:c>
      <x:c r="H178" s="14" t="str">
        <x:v>per set</x:v>
      </x:c>
      <x:c r="I178" s="14" t="str">
        <x:v>Inclusive of 5% VAT</x:v>
      </x:c>
      <x:c r="J178" s="19" t="str">
        <x:v>https://bedashingbeauty.com/service/nails/</x:v>
      </x:c>
      <x:c r="K178" s="14" t="str">
        <x:v>2026-09-03</x:v>
      </x:c>
      <x:c r="L178" s="14" t="str">
        <x:v>Official Bedashing website</x:v>
      </x:c>
      <x:c r="M178" s="14" t="str">
        <x:v>OK</x:v>
      </x:c>
      <x:c r="N178" s="20" t="str"/>
    </x:row>
    <x:row r="179" ht="15" hidden="0" customHeight="1">
      <x:c r="A179" s="14" t="str">
        <x:v>SVC-0178</x:v>
      </x:c>
      <x:c r="B179" s="14" t="str">
        <x:v>Nails</x:v>
      </x:c>
      <x:c r="C179" s="14" t="str">
        <x:v>Nail Enhancement</x:v>
      </x:c>
      <x:c r="D179" s="14" t="str">
        <x:v>Plexigel Overlay</x:v>
      </x:c>
      <x:c r="E179" s="14" t="str">
        <x:v>Standard</x:v>
      </x:c>
      <x:c r="F179" s="18" t="n">
        <x:v>100</x:v>
      </x:c>
      <x:c r="G179" s="17" t="n">
        <x:v>225</x:v>
      </x:c>
      <x:c r="H179" s="14" t="str">
        <x:v>per set</x:v>
      </x:c>
      <x:c r="I179" s="14" t="str">
        <x:v>Inclusive of 5% VAT</x:v>
      </x:c>
      <x:c r="J179" s="19" t="str">
        <x:v>https://bedashingbeauty.com/service/nails/</x:v>
      </x:c>
      <x:c r="K179" s="14" t="str">
        <x:v>2026-09-03</x:v>
      </x:c>
      <x:c r="L179" s="14" t="str">
        <x:v>Official Bedashing website</x:v>
      </x:c>
      <x:c r="M179" s="14" t="str">
        <x:v>OK</x:v>
      </x:c>
      <x:c r="N179" s="20" t="str"/>
    </x:row>
    <x:row r="180" ht="15" hidden="0" customHeight="1">
      <x:c r="A180" s="14" t="str">
        <x:v>SVC-0179</x:v>
      </x:c>
      <x:c r="B180" s="14" t="str">
        <x:v>Nails</x:v>
      </x:c>
      <x:c r="C180" s="14" t="str">
        <x:v>Nail Enhancement</x:v>
      </x:c>
      <x:c r="D180" s="14" t="str">
        <x:v>Plexigel Refill</x:v>
      </x:c>
      <x:c r="E180" s="14" t="str">
        <x:v>Standard</x:v>
      </x:c>
      <x:c r="F180" s="18" t="n">
        <x:v>90</x:v>
      </x:c>
      <x:c r="G180" s="17" t="n">
        <x:v>220</x:v>
      </x:c>
      <x:c r="H180" s="14" t="str">
        <x:v>per set</x:v>
      </x:c>
      <x:c r="I180" s="14" t="str">
        <x:v>Inclusive of 5% VAT</x:v>
      </x:c>
      <x:c r="J180" s="19" t="str">
        <x:v>https://bedashingbeauty.com/service/nails/</x:v>
      </x:c>
      <x:c r="K180" s="14" t="str">
        <x:v>2026-09-03</x:v>
      </x:c>
      <x:c r="L180" s="14" t="str">
        <x:v>Official Bedashing website</x:v>
      </x:c>
      <x:c r="M180" s="14" t="str">
        <x:v>OK</x:v>
      </x:c>
      <x:c r="N180" s="20" t="str"/>
    </x:row>
    <x:row r="181" ht="15" hidden="0" customHeight="1">
      <x:c r="A181" s="14" t="str">
        <x:v>SVC-0180</x:v>
      </x:c>
      <x:c r="B181" s="14" t="str">
        <x:v>Nails</x:v>
      </x:c>
      <x:c r="C181" s="14" t="str">
        <x:v>Nail Enhancement</x:v>
      </x:c>
      <x:c r="D181" s="14" t="str">
        <x:v>Extension Removal &amp; Manicure</x:v>
      </x:c>
      <x:c r="E181" s="14" t="str">
        <x:v>Standard</x:v>
      </x:c>
      <x:c r="F181" s="18" t="n">
        <x:v>70</x:v>
      </x:c>
      <x:c r="G181" s="17" t="n">
        <x:v>120</x:v>
      </x:c>
      <x:c r="H181" s="14" t="str">
        <x:v>per service</x:v>
      </x:c>
      <x:c r="I181" s="14" t="str">
        <x:v>Inclusive of 5% VAT</x:v>
      </x:c>
      <x:c r="J181" s="19" t="str">
        <x:v>https://bedashingbeauty.com/service/nails/</x:v>
      </x:c>
      <x:c r="K181" s="14" t="str">
        <x:v>2026-09-03</x:v>
      </x:c>
      <x:c r="L181" s="14" t="str">
        <x:v>Official Bedashing website</x:v>
      </x:c>
      <x:c r="M181" s="14" t="str">
        <x:v>OK</x:v>
      </x:c>
      <x:c r="N181" s="20" t="str"/>
    </x:row>
    <x:row r="182" ht="15" hidden="0" customHeight="1">
      <x:c r="A182" s="14" t="str">
        <x:v>SVC-0181</x:v>
      </x:c>
      <x:c r="B182" s="14" t="str">
        <x:v>Nails</x:v>
      </x:c>
      <x:c r="C182" s="14" t="str">
        <x:v>Nail Enhancement</x:v>
      </x:c>
      <x:c r="D182" s="14" t="str">
        <x:v>Nail Repair</x:v>
      </x:c>
      <x:c r="E182" s="14" t="str">
        <x:v>Standard</x:v>
      </x:c>
      <x:c r="F182" s="18" t="n">
        <x:v>20</x:v>
      </x:c>
      <x:c r="G182" s="17" t="n">
        <x:v>36.75</x:v>
      </x:c>
      <x:c r="H182" s="14" t="str">
        <x:v>per nail</x:v>
      </x:c>
      <x:c r="I182" s="14" t="str">
        <x:v>Inclusive of 5% VAT</x:v>
      </x:c>
      <x:c r="J182" s="19" t="str">
        <x:v>https://bedashingbeauty.com/service/nails/</x:v>
      </x:c>
      <x:c r="K182" s="14" t="str">
        <x:v>2026-09-03</x:v>
      </x:c>
      <x:c r="L182" s="14" t="str">
        <x:v>Official Bedashing website</x:v>
      </x:c>
      <x:c r="M182" s="14" t="str">
        <x:v>OK</x:v>
      </x:c>
      <x:c r="N182" s="20" t="str"/>
    </x:row>
    <x:row r="183" ht="15" hidden="0" customHeight="1">
      <x:c r="A183" s="14" t="str">
        <x:v>SVC-0182</x:v>
      </x:c>
      <x:c r="B183" s="14" t="str">
        <x:v>Nails</x:v>
      </x:c>
      <x:c r="C183" s="14" t="str">
        <x:v>Nail Enhancement</x:v>
      </x:c>
      <x:c r="D183" s="14" t="str">
        <x:v>Weekly Check-up</x:v>
      </x:c>
      <x:c r="E183" s="14" t="str">
        <x:v>Standard</x:v>
      </x:c>
      <x:c r="F183" s="18" t="n">
        <x:v>60</x:v>
      </x:c>
      <x:c r="G183" s="17" t="n">
        <x:v>89.25</x:v>
      </x:c>
      <x:c r="H183" s="14" t="str">
        <x:v>per service</x:v>
      </x:c>
      <x:c r="I183" s="14" t="str">
        <x:v>Inclusive of 5% VAT</x:v>
      </x:c>
      <x:c r="J183" s="19" t="str">
        <x:v>https://bedashingbeauty.com/service/nails/</x:v>
      </x:c>
      <x:c r="K183" s="14" t="str">
        <x:v>2026-09-03</x:v>
      </x:c>
      <x:c r="L183" s="14" t="str">
        <x:v>Official Bedashing website</x:v>
      </x:c>
      <x:c r="M183" s="14" t="str">
        <x:v>OK</x:v>
      </x:c>
      <x:c r="N183" s="20" t="str"/>
    </x:row>
    <x:row r="184" ht="15" hidden="0" customHeight="1">
      <x:c r="A184" s="14" t="str">
        <x:v>SVC-0183</x:v>
      </x:c>
      <x:c r="B184" s="14" t="str">
        <x:v>Nails</x:v>
      </x:c>
      <x:c r="C184" s="14" t="str">
        <x:v>Nail Enhancement</x:v>
      </x:c>
      <x:c r="D184" s="14" t="str">
        <x:v>Removal</x:v>
      </x:c>
      <x:c r="E184" s="14" t="str">
        <x:v>Standard</x:v>
      </x:c>
      <x:c r="F184" s="18" t="n">
        <x:v>10</x:v>
      </x:c>
      <x:c r="G184" s="17" t="n">
        <x:v>15.75</x:v>
      </x:c>
      <x:c r="H184" s="14" t="str">
        <x:v>per nail</x:v>
      </x:c>
      <x:c r="I184" s="14" t="str">
        <x:v>Inclusive of 5% VAT</x:v>
      </x:c>
      <x:c r="J184" s="19" t="str">
        <x:v>https://bedashingbeauty.com/service/nails/</x:v>
      </x:c>
      <x:c r="K184" s="14" t="str">
        <x:v>2026-09-03</x:v>
      </x:c>
      <x:c r="L184" s="14" t="str">
        <x:v>Official Bedashing website</x:v>
      </x:c>
      <x:c r="M184" s="14" t="str">
        <x:v>OK</x:v>
      </x:c>
      <x:c r="N184" s="20" t="str"/>
    </x:row>
    <x:row r="185" ht="15" hidden="0" customHeight="1">
      <x:c r="A185" s="14" t="str">
        <x:v>SVC-0184</x:v>
      </x:c>
      <x:c r="B185" s="14" t="str">
        <x:v>Nails</x:v>
      </x:c>
      <x:c r="C185" s="14" t="str">
        <x:v>Sensual Treatments</x:v>
      </x:c>
      <x:c r="D185" s="14" t="str">
        <x:v>Caviar &amp; Pearls Feet</x:v>
      </x:c>
      <x:c r="E185" s="14" t="str">
        <x:v>Standard</x:v>
      </x:c>
      <x:c r="F185" s="18" t="n">
        <x:v>45</x:v>
      </x:c>
      <x:c r="G185" s="17" t="n">
        <x:v>225.75</x:v>
      </x:c>
      <x:c r="H185" s="14" t="str">
        <x:v>per service</x:v>
      </x:c>
      <x:c r="I185" s="14" t="str">
        <x:v>Inclusive of 5% VAT</x:v>
      </x:c>
      <x:c r="J185" s="19" t="str">
        <x:v>https://bedashingbeauty.com/service/nails/</x:v>
      </x:c>
      <x:c r="K185" s="14" t="str">
        <x:v>2026-09-03</x:v>
      </x:c>
      <x:c r="L185" s="14" t="str">
        <x:v>Official Bedashing website</x:v>
      </x:c>
      <x:c r="M185" s="14" t="str">
        <x:v>OK</x:v>
      </x:c>
      <x:c r="N185" s="20" t="str"/>
    </x:row>
    <x:row r="186" ht="15" hidden="0" customHeight="1">
      <x:c r="A186" s="14" t="str">
        <x:v>SVC-0185</x:v>
      </x:c>
      <x:c r="B186" s="14" t="str">
        <x:v>Nails</x:v>
      </x:c>
      <x:c r="C186" s="14" t="str">
        <x:v>Sensual Treatments</x:v>
      </x:c>
      <x:c r="D186" s="14" t="str">
        <x:v>Caviar &amp; Pearls Hands</x:v>
      </x:c>
      <x:c r="E186" s="14" t="str">
        <x:v>Standard</x:v>
      </x:c>
      <x:c r="F186" s="18" t="n">
        <x:v>45</x:v>
      </x:c>
      <x:c r="G186" s="17" t="n">
        <x:v>194.25</x:v>
      </x:c>
      <x:c r="H186" s="14" t="str">
        <x:v>per service</x:v>
      </x:c>
      <x:c r="I186" s="14" t="str">
        <x:v>Inclusive of 5% VAT</x:v>
      </x:c>
      <x:c r="J186" s="19" t="str">
        <x:v>https://bedashingbeauty.com/service/nails/</x:v>
      </x:c>
      <x:c r="K186" s="14" t="str">
        <x:v>2026-09-03</x:v>
      </x:c>
      <x:c r="L186" s="14" t="str">
        <x:v>Official Bedashing website</x:v>
      </x:c>
      <x:c r="M186" s="14" t="str">
        <x:v>OK</x:v>
      </x:c>
      <x:c r="N186" s="20" t="str"/>
    </x:row>
    <x:row r="187" ht="15" hidden="0" customHeight="1">
      <x:c r="A187" s="14" t="str">
        <x:v>SVC-0186</x:v>
      </x:c>
      <x:c r="B187" s="14" t="str">
        <x:v>Nails</x:v>
      </x:c>
      <x:c r="C187" s="14" t="str">
        <x:v>Sensual Treatments</x:v>
      </x:c>
      <x:c r="D187" s="14" t="str">
        <x:v>PerfectSense Paraffin Feet</x:v>
      </x:c>
      <x:c r="E187" s="14" t="str">
        <x:v>Standard</x:v>
      </x:c>
      <x:c r="F187" s="18" t="n">
        <x:v>30</x:v>
      </x:c>
      <x:c r="G187" s="17" t="n">
        <x:v>136.5</x:v>
      </x:c>
      <x:c r="H187" s="14" t="str">
        <x:v>per service</x:v>
      </x:c>
      <x:c r="I187" s="14" t="str">
        <x:v>Inclusive of 5% VAT</x:v>
      </x:c>
      <x:c r="J187" s="19" t="str">
        <x:v>https://bedashingbeauty.com/service/nails/</x:v>
      </x:c>
      <x:c r="K187" s="14" t="str">
        <x:v>2026-09-03</x:v>
      </x:c>
      <x:c r="L187" s="14" t="str">
        <x:v>Official Bedashing website</x:v>
      </x:c>
      <x:c r="M187" s="14" t="str">
        <x:v>OK</x:v>
      </x:c>
      <x:c r="N187" s="20" t="str"/>
    </x:row>
    <x:row r="188" ht="15" hidden="0" customHeight="1">
      <x:c r="A188" s="14" t="str">
        <x:v>SVC-0187</x:v>
      </x:c>
      <x:c r="B188" s="14" t="str">
        <x:v>Nails</x:v>
      </x:c>
      <x:c r="C188" s="14" t="str">
        <x:v>Sensual Treatments</x:v>
      </x:c>
      <x:c r="D188" s="14" t="str">
        <x:v>PerfectSense Paraffin Hands</x:v>
      </x:c>
      <x:c r="E188" s="14" t="str">
        <x:v>Standard</x:v>
      </x:c>
      <x:c r="F188" s="18" t="n">
        <x:v>30</x:v>
      </x:c>
      <x:c r="G188" s="17" t="n">
        <x:v>126</x:v>
      </x:c>
      <x:c r="H188" s="14" t="str">
        <x:v>per service</x:v>
      </x:c>
      <x:c r="I188" s="14" t="str">
        <x:v>Inclusive of 5% VAT</x:v>
      </x:c>
      <x:c r="J188" s="19" t="str">
        <x:v>https://bedashingbeauty.com/service/nails/</x:v>
      </x:c>
      <x:c r="K188" s="14" t="str">
        <x:v>2026-09-03</x:v>
      </x:c>
      <x:c r="L188" s="14" t="str">
        <x:v>Official Bedashing website</x:v>
      </x:c>
      <x:c r="M188" s="14" t="str">
        <x:v>OK</x:v>
      </x:c>
      <x:c r="N188" s="20" t="str"/>
    </x:row>
    <x:row r="189" ht="15" hidden="0" customHeight="1">
      <x:c r="A189" s="14" t="str">
        <x:v>SVC-0188</x:v>
      </x:c>
      <x:c r="B189" s="14" t="str">
        <x:v>Nails</x:v>
      </x:c>
      <x:c r="C189" s="14" t="str">
        <x:v>Sensual Treatments</x:v>
      </x:c>
      <x:c r="D189" s="14" t="str">
        <x:v>Medi-cure Feet</x:v>
      </x:c>
      <x:c r="E189" s="14" t="str">
        <x:v>Standard</x:v>
      </x:c>
      <x:c r="F189" s="18" t="n">
        <x:v>75</x:v>
      </x:c>
      <x:c r="G189" s="17" t="n">
        <x:v>168</x:v>
      </x:c>
      <x:c r="H189" s="14" t="str">
        <x:v>per service</x:v>
      </x:c>
      <x:c r="I189" s="14" t="str">
        <x:v>Inclusive of 5% VAT</x:v>
      </x:c>
      <x:c r="J189" s="19" t="str">
        <x:v>https://bedashingbeauty.com/service/nails/</x:v>
      </x:c>
      <x:c r="K189" s="14" t="str">
        <x:v>2026-09-03</x:v>
      </x:c>
      <x:c r="L189" s="14" t="str">
        <x:v>Official Bedashing website</x:v>
      </x:c>
      <x:c r="M189" s="14" t="str">
        <x:v>OK</x:v>
      </x:c>
      <x:c r="N189" s="20" t="str"/>
    </x:row>
    <x:row r="190" ht="15" hidden="0" customHeight="1">
      <x:c r="A190" s="14" t="str">
        <x:v>SVC-0189</x:v>
      </x:c>
      <x:c r="B190" s="14" t="str">
        <x:v>Nails</x:v>
      </x:c>
      <x:c r="C190" s="14" t="str">
        <x:v>Sensual Treatments</x:v>
      </x:c>
      <x:c r="D190" s="14" t="str">
        <x:v>Anti-aging Feet</x:v>
      </x:c>
      <x:c r="E190" s="14" t="str">
        <x:v>Standard</x:v>
      </x:c>
      <x:c r="F190" s="18" t="n">
        <x:v>60</x:v>
      </x:c>
      <x:c r="G190" s="17" t="n">
        <x:v>210</x:v>
      </x:c>
      <x:c r="H190" s="14" t="str">
        <x:v>per service</x:v>
      </x:c>
      <x:c r="I190" s="14" t="str">
        <x:v>Inclusive of 5% VAT</x:v>
      </x:c>
      <x:c r="J190" s="19" t="str">
        <x:v>https://bedashingbeauty.com/service/nails/</x:v>
      </x:c>
      <x:c r="K190" s="14" t="str">
        <x:v>2026-09-03</x:v>
      </x:c>
      <x:c r="L190" s="14" t="str">
        <x:v>Official Bedashing website</x:v>
      </x:c>
      <x:c r="M190" s="14" t="str">
        <x:v>OK</x:v>
      </x:c>
      <x:c r="N190" s="20" t="str"/>
    </x:row>
    <x:row r="191" ht="15" hidden="0" customHeight="1">
      <x:c r="A191" s="14" t="str">
        <x:v>SVC-0190</x:v>
      </x:c>
      <x:c r="B191" s="14" t="str">
        <x:v>Nails</x:v>
      </x:c>
      <x:c r="C191" s="14" t="str">
        <x:v>Sensual Treatments</x:v>
      </x:c>
      <x:c r="D191" s="14" t="str">
        <x:v>Anti-aging Hands</x:v>
      </x:c>
      <x:c r="E191" s="14" t="str">
        <x:v>Standard</x:v>
      </x:c>
      <x:c r="F191" s="18" t="n">
        <x:v>60</x:v>
      </x:c>
      <x:c r="G191" s="17" t="n">
        <x:v>189</x:v>
      </x:c>
      <x:c r="H191" s="14" t="str">
        <x:v>per service</x:v>
      </x:c>
      <x:c r="I191" s="14" t="str">
        <x:v>Inclusive of 5% VAT</x:v>
      </x:c>
      <x:c r="J191" s="19" t="str">
        <x:v>https://bedashingbeauty.com/service/nails/</x:v>
      </x:c>
      <x:c r="K191" s="14" t="str">
        <x:v>2026-09-03</x:v>
      </x:c>
      <x:c r="L191" s="14" t="str">
        <x:v>Official Bedashing website</x:v>
      </x:c>
      <x:c r="M191" s="14" t="str">
        <x:v>OK</x:v>
      </x:c>
      <x:c r="N191" s="20" t="str"/>
    </x:row>
    <x:row r="192" ht="15" hidden="0" customHeight="1">
      <x:c r="A192" s="14" t="str">
        <x:v>SVC-0191</x:v>
      </x:c>
      <x:c r="B192" s="14" t="str">
        <x:v>Nails</x:v>
      </x:c>
      <x:c r="C192" s="14" t="str">
        <x:v>Sensual Treatments</x:v>
      </x:c>
      <x:c r="D192" s="14" t="str">
        <x:v>Skin Soul Hands</x:v>
      </x:c>
      <x:c r="E192" s="14" t="str">
        <x:v>Standard</x:v>
      </x:c>
      <x:c r="F192" s="18" t="n">
        <x:v>40</x:v>
      </x:c>
      <x:c r="G192" s="17" t="n">
        <x:v>195</x:v>
      </x:c>
      <x:c r="H192" s="14" t="str">
        <x:v>per service</x:v>
      </x:c>
      <x:c r="I192" s="14" t="str">
        <x:v>Inclusive of 5% VAT</x:v>
      </x:c>
      <x:c r="J192" s="19" t="str">
        <x:v>https://bedashingbeauty.com/service/nails/</x:v>
      </x:c>
      <x:c r="K192" s="14" t="str">
        <x:v>2026-09-03</x:v>
      </x:c>
      <x:c r="L192" s="14" t="str">
        <x:v>Official Bedashing website</x:v>
      </x:c>
      <x:c r="M192" s="14" t="str">
        <x:v>OK</x:v>
      </x:c>
      <x:c r="N192" s="20" t="str"/>
    </x:row>
    <x:row r="193" ht="15" hidden="0" customHeight="1">
      <x:c r="A193" s="14" t="str">
        <x:v>SVC-0192</x:v>
      </x:c>
      <x:c r="B193" s="14" t="str">
        <x:v>Nails</x:v>
      </x:c>
      <x:c r="C193" s="14" t="str">
        <x:v>Sensual Treatments</x:v>
      </x:c>
      <x:c r="D193" s="14" t="str">
        <x:v>Skin Soul Feet</x:v>
      </x:c>
      <x:c r="E193" s="14" t="str">
        <x:v>Standard</x:v>
      </x:c>
      <x:c r="F193" s="18" t="n">
        <x:v>40</x:v>
      </x:c>
      <x:c r="G193" s="17" t="n">
        <x:v>225</x:v>
      </x:c>
      <x:c r="H193" s="14" t="str">
        <x:v>per service</x:v>
      </x:c>
      <x:c r="I193" s="14" t="str">
        <x:v>Inclusive of 5% VAT</x:v>
      </x:c>
      <x:c r="J193" s="19" t="str">
        <x:v>https://bedashingbeauty.com/service/nails/</x:v>
      </x:c>
      <x:c r="K193" s="14" t="str">
        <x:v>2026-09-03</x:v>
      </x:c>
      <x:c r="L193" s="14" t="str">
        <x:v>Official Bedashing website</x:v>
      </x:c>
      <x:c r="M193" s="14" t="str">
        <x:v>OK</x:v>
      </x:c>
      <x:c r="N193" s="20" t="str"/>
    </x:row>
    <x:row r="194" ht="15" hidden="0" customHeight="1">
      <x:c r="A194" s="14" t="str">
        <x:v>SVC-0193</x:v>
      </x:c>
      <x:c r="B194" s="14" t="str">
        <x:v>Nails</x:v>
      </x:c>
      <x:c r="C194" s="14" t="str">
        <x:v>Sensual Treatments</x:v>
      </x:c>
      <x:c r="D194" s="14" t="str">
        <x:v>Be Espresso Hands</x:v>
      </x:c>
      <x:c r="E194" s="14" t="str">
        <x:v>Standard</x:v>
      </x:c>
      <x:c r="F194" s="18" t="n">
        <x:v>40</x:v>
      </x:c>
      <x:c r="G194" s="17" t="n">
        <x:v>194.25</x:v>
      </x:c>
      <x:c r="H194" s="14" t="str">
        <x:v>per service</x:v>
      </x:c>
      <x:c r="I194" s="14" t="str">
        <x:v>Inclusive of 5% VAT</x:v>
      </x:c>
      <x:c r="J194" s="19" t="str">
        <x:v>https://bedashingbeauty.com/service/nails/</x:v>
      </x:c>
      <x:c r="K194" s="14" t="str">
        <x:v>2026-09-03</x:v>
      </x:c>
      <x:c r="L194" s="14" t="str">
        <x:v>Official Bedashing website</x:v>
      </x:c>
      <x:c r="M194" s="14" t="str">
        <x:v>OK</x:v>
      </x:c>
      <x:c r="N194" s="20" t="str"/>
    </x:row>
    <x:row r="195" ht="15" hidden="0" customHeight="1">
      <x:c r="A195" s="14" t="str">
        <x:v>SVC-0194</x:v>
      </x:c>
      <x:c r="B195" s="14" t="str">
        <x:v>Nails</x:v>
      </x:c>
      <x:c r="C195" s="14" t="str">
        <x:v>Sensual Treatments</x:v>
      </x:c>
      <x:c r="D195" s="14" t="str">
        <x:v>Be Espresso Feet</x:v>
      </x:c>
      <x:c r="E195" s="14" t="str">
        <x:v>Standard</x:v>
      </x:c>
      <x:c r="F195" s="18" t="n">
        <x:v>40</x:v>
      </x:c>
      <x:c r="G195" s="17" t="n">
        <x:v>225.75</x:v>
      </x:c>
      <x:c r="H195" s="14" t="str">
        <x:v>per service</x:v>
      </x:c>
      <x:c r="I195" s="14" t="str">
        <x:v>Inclusive of 5% VAT</x:v>
      </x:c>
      <x:c r="J195" s="19" t="str">
        <x:v>https://bedashingbeauty.com/service/nails/</x:v>
      </x:c>
      <x:c r="K195" s="14" t="str">
        <x:v>2026-09-03</x:v>
      </x:c>
      <x:c r="L195" s="14" t="str">
        <x:v>Official Bedashing website</x:v>
      </x:c>
      <x:c r="M195" s="14" t="str">
        <x:v>OK</x:v>
      </x:c>
      <x:c r="N195" s="20" t="str"/>
    </x:row>
    <x:row r="196" ht="15" hidden="0" customHeight="1">
      <x:c r="A196" s="14" t="str">
        <x:v>SVC-0195</x:v>
      </x:c>
      <x:c r="B196" s="14" t="str">
        <x:v>Nails</x:v>
      </x:c>
      <x:c r="C196" s="14" t="str">
        <x:v>Sensual Treatments</x:v>
      </x:c>
      <x:c r="D196" s="14" t="str">
        <x:v>Doctor Heel</x:v>
      </x:c>
      <x:c r="E196" s="14" t="str">
        <x:v>Standard</x:v>
      </x:c>
      <x:c r="F196" s="18" t="n">
        <x:v>55</x:v>
      </x:c>
      <x:c r="G196" s="17" t="n">
        <x:v>178.5</x:v>
      </x:c>
      <x:c r="H196" s="14" t="str">
        <x:v>per service</x:v>
      </x:c>
      <x:c r="I196" s="14" t="str">
        <x:v>Inclusive of 5% VAT</x:v>
      </x:c>
      <x:c r="J196" s="19" t="str">
        <x:v>https://bedashingbeauty.com/service/nails/</x:v>
      </x:c>
      <x:c r="K196" s="14" t="str">
        <x:v>2026-09-03</x:v>
      </x:c>
      <x:c r="L196" s="14" t="str">
        <x:v>Official Bedashing website</x:v>
      </x:c>
      <x:c r="M196" s="14" t="str">
        <x:v>OK</x:v>
      </x:c>
      <x:c r="N196" s="20" t="str"/>
    </x:row>
    <x:row r="197" ht="15" hidden="0" customHeight="1">
      <x:c r="A197" s="14" t="str">
        <x:v>SVC-0196</x:v>
      </x:c>
      <x:c r="B197" s="14" t="str">
        <x:v>Nails</x:v>
      </x:c>
      <x:c r="C197" s="14" t="str">
        <x:v>Sensual Treatments</x:v>
      </x:c>
      <x:c r="D197" s="14" t="str">
        <x:v>Q1 Nail Art</x:v>
      </x:c>
      <x:c r="E197" s="14" t="str">
        <x:v>Standard</x:v>
      </x:c>
      <x:c r="F197" s="18" t="n">
        <x:v>10</x:v>
      </x:c>
      <x:c r="G197" s="17" t="n">
        <x:v>10.5</x:v>
      </x:c>
      <x:c r="H197" s="14" t="str">
        <x:v>per service</x:v>
      </x:c>
      <x:c r="I197" s="14" t="str">
        <x:v>Inclusive of 5% VAT</x:v>
      </x:c>
      <x:c r="J197" s="19" t="str">
        <x:v>https://bedashingbeauty.com/service/nails/</x:v>
      </x:c>
      <x:c r="K197" s="14" t="str">
        <x:v>2026-09-03</x:v>
      </x:c>
      <x:c r="L197" s="14" t="str">
        <x:v>Official Bedashing website</x:v>
      </x:c>
      <x:c r="M197" s="14" t="str">
        <x:v>OK</x:v>
      </x:c>
      <x:c r="N197" s="20" t="str"/>
    </x:row>
    <x:row r="198" ht="15" hidden="0" customHeight="1">
      <x:c r="A198" s="14" t="str">
        <x:v>SVC-0197</x:v>
      </x:c>
      <x:c r="B198" s="14" t="str">
        <x:v>Nails</x:v>
      </x:c>
      <x:c r="C198" s="14" t="str">
        <x:v>Sensual Treatments</x:v>
      </x:c>
      <x:c r="D198" s="14" t="str">
        <x:v>Q2 Nail Art</x:v>
      </x:c>
      <x:c r="E198" s="14" t="str">
        <x:v>Standard</x:v>
      </x:c>
      <x:c r="F198" s="18" t="n">
        <x:v>10</x:v>
      </x:c>
      <x:c r="G198" s="17" t="n">
        <x:v>10.5</x:v>
      </x:c>
      <x:c r="H198" s="14" t="str">
        <x:v>per service</x:v>
      </x:c>
      <x:c r="I198" s="14" t="str">
        <x:v>Inclusive of 5% VAT</x:v>
      </x:c>
      <x:c r="J198" s="19" t="str">
        <x:v>https://bedashingbeauty.com/service/nails/</x:v>
      </x:c>
      <x:c r="K198" s="14" t="str">
        <x:v>2026-09-03</x:v>
      </x:c>
      <x:c r="L198" s="14" t="str">
        <x:v>Official Bedashing website</x:v>
      </x:c>
      <x:c r="M198" s="14" t="str">
        <x:v>OK</x:v>
      </x:c>
      <x:c r="N198" s="20" t="str"/>
    </x:row>
    <x:row r="199" ht="15" hidden="0" customHeight="1">
      <x:c r="A199" s="14" t="str">
        <x:v>SVC-0198</x:v>
      </x:c>
      <x:c r="B199" s="14" t="str">
        <x:v>Nails</x:v>
      </x:c>
      <x:c r="C199" s="14" t="str">
        <x:v>Sensual Treatments</x:v>
      </x:c>
      <x:c r="D199" s="14" t="str">
        <x:v>Tea Lounge Hands</x:v>
      </x:c>
      <x:c r="E199" s="14" t="str">
        <x:v>Standard</x:v>
      </x:c>
      <x:c r="F199" s="18" t="n">
        <x:v>40</x:v>
      </x:c>
      <x:c r="G199" s="17" t="n">
        <x:v>194.25</x:v>
      </x:c>
      <x:c r="H199" s="14" t="str">
        <x:v>per service</x:v>
      </x:c>
      <x:c r="I199" s="14" t="str">
        <x:v>Inclusive of 5% VAT</x:v>
      </x:c>
      <x:c r="J199" s="19" t="str">
        <x:v>https://bedashingbeauty.com/service/nails/</x:v>
      </x:c>
      <x:c r="K199" s="14" t="str">
        <x:v>2026-09-03</x:v>
      </x:c>
      <x:c r="L199" s="14" t="str">
        <x:v>Official Bedashing website</x:v>
      </x:c>
      <x:c r="M199" s="14" t="str">
        <x:v>OK</x:v>
      </x:c>
      <x:c r="N199" s="20" t="str"/>
    </x:row>
    <x:row r="200" ht="15" hidden="0" customHeight="1">
      <x:c r="A200" s="14" t="str">
        <x:v>SVC-0199</x:v>
      </x:c>
      <x:c r="B200" s="14" t="str">
        <x:v>Nails</x:v>
      </x:c>
      <x:c r="C200" s="14" t="str">
        <x:v>Sensual Treatments</x:v>
      </x:c>
      <x:c r="D200" s="14" t="str">
        <x:v>Tea Lounge Feet</x:v>
      </x:c>
      <x:c r="E200" s="14" t="str">
        <x:v>Standard</x:v>
      </x:c>
      <x:c r="F200" s="18" t="n">
        <x:v>40</x:v>
      </x:c>
      <x:c r="G200" s="17" t="n">
        <x:v>225.75</x:v>
      </x:c>
      <x:c r="H200" s="14" t="str">
        <x:v>per service</x:v>
      </x:c>
      <x:c r="I200" s="14" t="str">
        <x:v>Inclusive of 5% VAT</x:v>
      </x:c>
      <x:c r="J200" s="19" t="str">
        <x:v>https://bedashingbeauty.com/service/nails/</x:v>
      </x:c>
      <x:c r="K200" s="14" t="str">
        <x:v>2026-09-03</x:v>
      </x:c>
      <x:c r="L200" s="14" t="str">
        <x:v>Official Bedashing website</x:v>
      </x:c>
      <x:c r="M200" s="14" t="str">
        <x:v>OK</x:v>
      </x:c>
      <x:c r="N200" s="20" t="str"/>
    </x:row>
    <x:row r="201" ht="15" hidden="0" customHeight="1">
      <x:c r="A201" s="14" t="str">
        <x:v>SVC-0200</x:v>
      </x:c>
      <x:c r="B201" s="14" t="str">
        <x:v>Face</x:v>
      </x:c>
      <x:c r="C201" s="14" t="str">
        <x:v>Lash Enhancement</x:v>
      </x:c>
      <x:c r="D201" s="14" t="str">
        <x:v>LVL Lashes</x:v>
      </x:c>
      <x:c r="E201" s="14" t="str">
        <x:v>Standard</x:v>
      </x:c>
      <x:c r="F201" s="18" t="n">
        <x:v>45</x:v>
      </x:c>
      <x:c r="G201" s="17" t="n">
        <x:v>262.5</x:v>
      </x:c>
      <x:c r="H201" s="14" t="str">
        <x:v>per service</x:v>
      </x:c>
      <x:c r="I201" s="14" t="str">
        <x:v>Inclusive of 5% VAT</x:v>
      </x:c>
      <x:c r="J201" s="19" t="str">
        <x:v>https://bedashingbeauty.com/service/face/</x:v>
      </x:c>
      <x:c r="K201" s="14" t="str">
        <x:v>2026-09-03</x:v>
      </x:c>
      <x:c r="L201" s="14" t="str">
        <x:v>Official Bedashing website</x:v>
      </x:c>
      <x:c r="M201" s="14" t="str">
        <x:v>OK</x:v>
      </x:c>
      <x:c r="N201" s="20" t="str"/>
    </x:row>
    <x:row r="202" ht="15" hidden="0" customHeight="1">
      <x:c r="A202" s="14" t="str">
        <x:v>SVC-0201</x:v>
      </x:c>
      <x:c r="B202" s="14" t="str">
        <x:v>Face</x:v>
      </x:c>
      <x:c r="C202" s="14" t="str">
        <x:v>Lash Enhancement</x:v>
      </x:c>
      <x:c r="D202" s="14" t="str">
        <x:v>Eyebrow Lamination</x:v>
      </x:c>
      <x:c r="E202" s="14" t="str">
        <x:v>Standard</x:v>
      </x:c>
      <x:c r="F202" s="18" t="n">
        <x:v>45</x:v>
      </x:c>
      <x:c r="G202" s="17" t="n">
        <x:v>262.5</x:v>
      </x:c>
      <x:c r="H202" s="14" t="str">
        <x:v>per service</x:v>
      </x:c>
      <x:c r="I202" s="14" t="str">
        <x:v>Inclusive of 5% VAT</x:v>
      </x:c>
      <x:c r="J202" s="19" t="str">
        <x:v>https://bedashingbeauty.com/service/face/</x:v>
      </x:c>
      <x:c r="K202" s="14" t="str">
        <x:v>2026-09-03</x:v>
      </x:c>
      <x:c r="L202" s="14" t="str">
        <x:v>Official Bedashing website</x:v>
      </x:c>
      <x:c r="M202" s="14" t="str">
        <x:v>OK</x:v>
      </x:c>
      <x:c r="N202" s="20" t="str"/>
    </x:row>
    <x:row r="203" ht="15" hidden="0" customHeight="1">
      <x:c r="A203" s="14" t="str">
        <x:v>SVC-0202</x:v>
      </x:c>
      <x:c r="B203" s="14" t="str">
        <x:v>Face</x:v>
      </x:c>
      <x:c r="C203" s="14" t="str">
        <x:v>Lash Enhancement</x:v>
      </x:c>
      <x:c r="D203" s="14" t="str">
        <x:v>Eyelash Extension Package</x:v>
      </x:c>
      <x:c r="E203" s="14" t="str">
        <x:v>Standard</x:v>
      </x:c>
      <x:c r="F203" s="18" t="n">
        <x:v>120</x:v>
      </x:c>
      <x:c r="G203" s="17" t="n">
        <x:v>525</x:v>
      </x:c>
      <x:c r="H203" s="14" t="str">
        <x:v>per service</x:v>
      </x:c>
      <x:c r="I203" s="14" t="str">
        <x:v>Inclusive of 5% VAT</x:v>
      </x:c>
      <x:c r="J203" s="19" t="str">
        <x:v>https://bedashingbeauty.com/service/face/</x:v>
      </x:c>
      <x:c r="K203" s="14" t="str">
        <x:v>2026-09-03</x:v>
      </x:c>
      <x:c r="L203" s="14" t="str">
        <x:v>Official Bedashing website</x:v>
      </x:c>
      <x:c r="M203" s="14" t="str">
        <x:v>OK</x:v>
      </x:c>
      <x:c r="N203" s="20" t="str"/>
    </x:row>
    <x:row r="204" ht="15" hidden="0" customHeight="1">
      <x:c r="A204" s="14" t="str">
        <x:v>SVC-0203</x:v>
      </x:c>
      <x:c r="B204" s="14" t="str">
        <x:v>Face</x:v>
      </x:c>
      <x:c r="C204" s="14" t="str">
        <x:v>Lash Enhancement</x:v>
      </x:c>
      <x:c r="D204" s="14" t="str">
        <x:v>Eyelash Extension Full Set</x:v>
      </x:c>
      <x:c r="E204" s="14" t="str">
        <x:v>Standard</x:v>
      </x:c>
      <x:c r="F204" s="18" t="n">
        <x:v>120</x:v>
      </x:c>
      <x:c r="G204" s="17" t="n">
        <x:v>367.5</x:v>
      </x:c>
      <x:c r="H204" s="14" t="str">
        <x:v>per service</x:v>
      </x:c>
      <x:c r="I204" s="14" t="str">
        <x:v>Inclusive of 5% VAT</x:v>
      </x:c>
      <x:c r="J204" s="19" t="str">
        <x:v>https://bedashingbeauty.com/service/face/</x:v>
      </x:c>
      <x:c r="K204" s="14" t="str">
        <x:v>2026-09-03</x:v>
      </x:c>
      <x:c r="L204" s="14" t="str">
        <x:v>Official Bedashing website</x:v>
      </x:c>
      <x:c r="M204" s="14" t="str">
        <x:v>OK</x:v>
      </x:c>
      <x:c r="N204" s="20" t="str"/>
    </x:row>
    <x:row r="205" ht="15" hidden="0" customHeight="1">
      <x:c r="A205" s="14" t="str">
        <x:v>SVC-0204</x:v>
      </x:c>
      <x:c r="B205" s="14" t="str">
        <x:v>Face</x:v>
      </x:c>
      <x:c r="C205" s="14" t="str">
        <x:v>Lash Enhancement</x:v>
      </x:c>
      <x:c r="D205" s="14" t="str">
        <x:v>Eyelash Extension Refill</x:v>
      </x:c>
      <x:c r="E205" s="14" t="str">
        <x:v>Standard</x:v>
      </x:c>
      <x:c r="F205" s="18" t="n">
        <x:v>75</x:v>
      </x:c>
      <x:c r="G205" s="17" t="n">
        <x:v>157.5</x:v>
      </x:c>
      <x:c r="H205" s="14" t="str">
        <x:v>per service</x:v>
      </x:c>
      <x:c r="I205" s="14" t="str">
        <x:v>Inclusive of 5% VAT</x:v>
      </x:c>
      <x:c r="J205" s="19" t="str">
        <x:v>https://bedashingbeauty.com/service/face/</x:v>
      </x:c>
      <x:c r="K205" s="14" t="str">
        <x:v>2026-09-03</x:v>
      </x:c>
      <x:c r="L205" s="14" t="str">
        <x:v>Official Bedashing website</x:v>
      </x:c>
      <x:c r="M205" s="14" t="str">
        <x:v>OK</x:v>
      </x:c>
      <x:c r="N205" s="20" t="str"/>
    </x:row>
    <x:row r="206" ht="15" hidden="0" customHeight="1">
      <x:c r="A206" s="14" t="str">
        <x:v>SVC-0205</x:v>
      </x:c>
      <x:c r="B206" s="14" t="str">
        <x:v>Face</x:v>
      </x:c>
      <x:c r="C206" s="14" t="str">
        <x:v>Lash Enhancement</x:v>
      </x:c>
      <x:c r="D206" s="14" t="str">
        <x:v>Eyelash Extension Removal</x:v>
      </x:c>
      <x:c r="E206" s="14" t="str">
        <x:v>Standard</x:v>
      </x:c>
      <x:c r="F206" s="18" t="n">
        <x:v>20</x:v>
      </x:c>
      <x:c r="G206" s="17" t="n">
        <x:v>73.5</x:v>
      </x:c>
      <x:c r="H206" s="14" t="str">
        <x:v>per service</x:v>
      </x:c>
      <x:c r="I206" s="14" t="str">
        <x:v>Inclusive of 5% VAT</x:v>
      </x:c>
      <x:c r="J206" s="19" t="str">
        <x:v>https://bedashingbeauty.com/service/face/</x:v>
      </x:c>
      <x:c r="K206" s="14" t="str">
        <x:v>2026-09-03</x:v>
      </x:c>
      <x:c r="L206" s="14" t="str">
        <x:v>Official Bedashing website</x:v>
      </x:c>
      <x:c r="M206" s="14" t="str">
        <x:v>OK</x:v>
      </x:c>
      <x:c r="N206" s="20" t="str"/>
    </x:row>
    <x:row r="207" ht="15" hidden="0" customHeight="1">
      <x:c r="A207" s="14" t="str">
        <x:v>SVC-0206</x:v>
      </x:c>
      <x:c r="B207" s="14" t="str">
        <x:v>Face</x:v>
      </x:c>
      <x:c r="C207" s="14" t="str">
        <x:v>Lash Enhancement</x:v>
      </x:c>
      <x:c r="D207" s="14" t="str">
        <x:v>Cluster Lashes</x:v>
      </x:c>
      <x:c r="E207" s="14" t="str">
        <x:v>Standard</x:v>
      </x:c>
      <x:c r="F207" s="18" t="n">
        <x:v>30</x:v>
      </x:c>
      <x:c r="G207" s="17" t="n">
        <x:v>157.5</x:v>
      </x:c>
      <x:c r="H207" s="14" t="str">
        <x:v>per service</x:v>
      </x:c>
      <x:c r="I207" s="14" t="str">
        <x:v>Inclusive of 5% VAT</x:v>
      </x:c>
      <x:c r="J207" s="19" t="str">
        <x:v>https://bedashingbeauty.com/service/face/</x:v>
      </x:c>
      <x:c r="K207" s="14" t="str">
        <x:v>2026-09-03</x:v>
      </x:c>
      <x:c r="L207" s="14" t="str">
        <x:v>Official Bedashing website</x:v>
      </x:c>
      <x:c r="M207" s="14" t="str">
        <x:v>OK</x:v>
      </x:c>
      <x:c r="N207" s="20" t="str"/>
    </x:row>
    <x:row r="208" ht="15" hidden="0" customHeight="1">
      <x:c r="A208" s="14" t="str">
        <x:v>SVC-0207</x:v>
      </x:c>
      <x:c r="B208" s="14" t="str">
        <x:v>Face</x:v>
      </x:c>
      <x:c r="C208" s="14" t="str">
        <x:v>Facials</x:v>
      </x:c>
      <x:c r="D208" s="14" t="str">
        <x:v>Glow Bar Express</x:v>
      </x:c>
      <x:c r="E208" s="14" t="str">
        <x:v>Standard</x:v>
      </x:c>
      <x:c r="F208" s="18" t="n">
        <x:v>30</x:v>
      </x:c>
      <x:c r="G208" s="17" t="n">
        <x:v>165</x:v>
      </x:c>
      <x:c r="H208" s="14" t="str">
        <x:v>per service</x:v>
      </x:c>
      <x:c r="I208" s="14" t="str">
        <x:v>Inclusive of 5% VAT</x:v>
      </x:c>
      <x:c r="J208" s="19" t="str">
        <x:v>https://bedashingbeauty.com/service/face/</x:v>
      </x:c>
      <x:c r="K208" s="14" t="str">
        <x:v>2026-09-03</x:v>
      </x:c>
      <x:c r="L208" s="14" t="str">
        <x:v>Official Bedashing website</x:v>
      </x:c>
      <x:c r="M208" s="14" t="str">
        <x:v>OK</x:v>
      </x:c>
      <x:c r="N208" s="20" t="str"/>
    </x:row>
    <x:row r="209" ht="15" hidden="0" customHeight="1">
      <x:c r="A209" s="14" t="str">
        <x:v>SVC-0208</x:v>
      </x:c>
      <x:c r="B209" s="14" t="str">
        <x:v>Face</x:v>
      </x:c>
      <x:c r="C209" s="14" t="str">
        <x:v>Facials</x:v>
      </x:c>
      <x:c r="D209" s="14" t="str">
        <x:v>Buccal Massage</x:v>
      </x:c>
      <x:c r="E209" s="14" t="str">
        <x:v>Standard</x:v>
      </x:c>
      <x:c r="F209" s="18" t="n">
        <x:v>45</x:v>
      </x:c>
      <x:c r="G209" s="17" t="n">
        <x:v>367.5</x:v>
      </x:c>
      <x:c r="H209" s="14" t="str">
        <x:v>per service</x:v>
      </x:c>
      <x:c r="I209" s="14" t="str">
        <x:v>Inclusive of 5% VAT</x:v>
      </x:c>
      <x:c r="J209" s="19" t="str">
        <x:v>https://bedashingbeauty.com/service/face/</x:v>
      </x:c>
      <x:c r="K209" s="14" t="str">
        <x:v>2026-09-03</x:v>
      </x:c>
      <x:c r="L209" s="14" t="str">
        <x:v>Official Bedashing website</x:v>
      </x:c>
      <x:c r="M209" s="14" t="str">
        <x:v>OK</x:v>
      </x:c>
      <x:c r="N209" s="20" t="str"/>
    </x:row>
    <x:row r="210" ht="15" hidden="0" customHeight="1">
      <x:c r="A210" s="14" t="str">
        <x:v>SVC-0209</x:v>
      </x:c>
      <x:c r="B210" s="14" t="str">
        <x:v>Face</x:v>
      </x:c>
      <x:c r="C210" s="14" t="str">
        <x:v>Facials</x:v>
      </x:c>
      <x:c r="D210" s="14" t="str">
        <x:v>Express Facial</x:v>
      </x:c>
      <x:c r="E210" s="14" t="str">
        <x:v>Standard</x:v>
      </x:c>
      <x:c r="F210" s="18" t="n">
        <x:v>60</x:v>
      </x:c>
      <x:c r="G210" s="17" t="n">
        <x:v>262.5</x:v>
      </x:c>
      <x:c r="H210" s="14" t="str">
        <x:v>per service</x:v>
      </x:c>
      <x:c r="I210" s="14" t="str">
        <x:v>Inclusive of 5% VAT</x:v>
      </x:c>
      <x:c r="J210" s="19" t="str">
        <x:v>https://bedashingbeauty.com/service/face/</x:v>
      </x:c>
      <x:c r="K210" s="14" t="str">
        <x:v>2026-09-03</x:v>
      </x:c>
      <x:c r="L210" s="14" t="str">
        <x:v>Official Bedashing website</x:v>
      </x:c>
      <x:c r="M210" s="14" t="str">
        <x:v>OK</x:v>
      </x:c>
      <x:c r="N210" s="20" t="str"/>
    </x:row>
    <x:row r="211" ht="15" hidden="0" customHeight="1">
      <x:c r="A211" s="14" t="str">
        <x:v>SVC-0210</x:v>
      </x:c>
      <x:c r="B211" s="14" t="str">
        <x:v>Face</x:v>
      </x:c>
      <x:c r="C211" s="14" t="str">
        <x:v>Facials</x:v>
      </x:c>
      <x:c r="D211" s="14" t="str">
        <x:v>Hydra Facial Signature</x:v>
      </x:c>
      <x:c r="E211" s="14" t="str">
        <x:v>Standard</x:v>
      </x:c>
      <x:c r="F211" s="18" t="n">
        <x:v>50</x:v>
      </x:c>
      <x:c r="G211" s="17" t="n">
        <x:v>577.5</x:v>
      </x:c>
      <x:c r="H211" s="14" t="str">
        <x:v>per service</x:v>
      </x:c>
      <x:c r="I211" s="14" t="str">
        <x:v>Inclusive of 5% VAT</x:v>
      </x:c>
      <x:c r="J211" s="19" t="str">
        <x:v>https://bedashingbeauty.com/service/face/</x:v>
      </x:c>
      <x:c r="K211" s="14" t="str">
        <x:v>2026-09-03</x:v>
      </x:c>
      <x:c r="L211" s="14" t="str">
        <x:v>Official Bedashing website</x:v>
      </x:c>
      <x:c r="M211" s="14" t="str">
        <x:v>OK</x:v>
      </x:c>
      <x:c r="N211" s="20" t="str"/>
    </x:row>
    <x:row r="212" ht="15" hidden="0" customHeight="1">
      <x:c r="A212" s="14" t="str">
        <x:v>SVC-0211</x:v>
      </x:c>
      <x:c r="B212" s="14" t="str">
        <x:v>Face</x:v>
      </x:c>
      <x:c r="C212" s="14" t="str">
        <x:v>Makeup</x:v>
      </x:c>
      <x:c r="D212" s="14" t="str">
        <x:v>Bridal Makeup</x:v>
      </x:c>
      <x:c r="E212" s="14" t="str">
        <x:v>Standard</x:v>
      </x:c>
      <x:c r="F212" s="18" t="n">
        <x:v>140</x:v>
      </x:c>
      <x:c r="G212" s="17" t="n">
        <x:v>3150</x:v>
      </x:c>
      <x:c r="H212" s="14" t="str">
        <x:v>per service</x:v>
      </x:c>
      <x:c r="I212" s="14" t="str">
        <x:v>Inclusive of 5% VAT</x:v>
      </x:c>
      <x:c r="J212" s="19" t="str">
        <x:v>https://bedashingbeauty.com/service/face/</x:v>
      </x:c>
      <x:c r="K212" s="14" t="str">
        <x:v>2026-09-03</x:v>
      </x:c>
      <x:c r="L212" s="14" t="str">
        <x:v>Official Bedashing website</x:v>
      </x:c>
      <x:c r="M212" s="14" t="str">
        <x:v>OK</x:v>
      </x:c>
      <x:c r="N212" s="20" t="str"/>
    </x:row>
    <x:row r="213" ht="15" hidden="0" customHeight="1">
      <x:c r="A213" s="14" t="str">
        <x:v>SVC-0212</x:v>
      </x:c>
      <x:c r="B213" s="14" t="str">
        <x:v>Face</x:v>
      </x:c>
      <x:c r="C213" s="14" t="str">
        <x:v>Makeup</x:v>
      </x:c>
      <x:c r="D213" s="14" t="str">
        <x:v>Full Makeup</x:v>
      </x:c>
      <x:c r="E213" s="14" t="str">
        <x:v>Standard</x:v>
      </x:c>
      <x:c r="F213" s="18" t="n">
        <x:v>70</x:v>
      </x:c>
      <x:c r="G213" s="17" t="n">
        <x:v>472.5</x:v>
      </x:c>
      <x:c r="H213" s="14" t="str">
        <x:v>per service</x:v>
      </x:c>
      <x:c r="I213" s="14" t="str">
        <x:v>Inclusive of 5% VAT</x:v>
      </x:c>
      <x:c r="J213" s="19" t="str">
        <x:v>https://bedashingbeauty.com/service/face/</x:v>
      </x:c>
      <x:c r="K213" s="14" t="str">
        <x:v>2026-09-03</x:v>
      </x:c>
      <x:c r="L213" s="14" t="str">
        <x:v>Official Bedashing website</x:v>
      </x:c>
      <x:c r="M213" s="14" t="str">
        <x:v>OK</x:v>
      </x:c>
      <x:c r="N213" s="20" t="str"/>
    </x:row>
    <x:row r="214" ht="15" hidden="0" customHeight="1">
      <x:c r="A214" s="14" t="str">
        <x:v>SVC-0213</x:v>
      </x:c>
      <x:c r="B214" s="14" t="str">
        <x:v>Face</x:v>
      </x:c>
      <x:c r="C214" s="14" t="str">
        <x:v>Makeup</x:v>
      </x:c>
      <x:c r="D214" s="14" t="str">
        <x:v>Eye Makeup</x:v>
      </x:c>
      <x:c r="E214" s="14" t="str">
        <x:v>Standard</x:v>
      </x:c>
      <x:c r="F214" s="18" t="n">
        <x:v>25</x:v>
      </x:c>
      <x:c r="G214" s="17" t="n">
        <x:v>210</x:v>
      </x:c>
      <x:c r="H214" s="14" t="str">
        <x:v>per service</x:v>
      </x:c>
      <x:c r="I214" s="14" t="str">
        <x:v>Inclusive of 5% VAT</x:v>
      </x:c>
      <x:c r="J214" s="19" t="str">
        <x:v>https://bedashingbeauty.com/service/face/</x:v>
      </x:c>
      <x:c r="K214" s="14" t="str">
        <x:v>2026-09-03</x:v>
      </x:c>
      <x:c r="L214" s="14" t="str">
        <x:v>Official Bedashing website</x:v>
      </x:c>
      <x:c r="M214" s="14" t="str">
        <x:v>OK</x:v>
      </x:c>
      <x:c r="N214" s="20" t="str"/>
    </x:row>
    <x:row r="215" ht="15" hidden="0" customHeight="1">
      <x:c r="A215" s="14" t="str">
        <x:v>SVC-0214</x:v>
      </x:c>
      <x:c r="B215" s="14" t="str">
        <x:v>Face</x:v>
      </x:c>
      <x:c r="C215" s="14" t="str">
        <x:v>Makeup</x:v>
      </x:c>
      <x:c r="D215" s="14" t="str">
        <x:v>GlamN30</x:v>
      </x:c>
      <x:c r="E215" s="14" t="str">
        <x:v>Standard</x:v>
      </x:c>
      <x:c r="F215" s="18" t="n">
        <x:v>30</x:v>
      </x:c>
      <x:c r="G215" s="17" t="n">
        <x:v>525</x:v>
      </x:c>
      <x:c r="H215" s="14" t="str">
        <x:v>per service</x:v>
      </x:c>
      <x:c r="I215" s="14" t="str">
        <x:v>Inclusive of 5% VAT</x:v>
      </x:c>
      <x:c r="J215" s="19" t="str">
        <x:v>https://bedashingbeauty.com/service/face/</x:v>
      </x:c>
      <x:c r="K215" s="14" t="str">
        <x:v>2026-09-03</x:v>
      </x:c>
      <x:c r="L215" s="14" t="str">
        <x:v>Official Bedashing website</x:v>
      </x:c>
      <x:c r="M215" s="14" t="str">
        <x:v>OK</x:v>
      </x:c>
      <x:c r="N215" s="20" t="str"/>
    </x:row>
    <x:row r="216" ht="15" hidden="0" customHeight="1">
      <x:c r="A216" s="14" t="str">
        <x:v>SVC-0215</x:v>
      </x:c>
      <x:c r="B216" s="14" t="str">
        <x:v>Face</x:v>
      </x:c>
      <x:c r="C216" s="14" t="str">
        <x:v>Brows</x:v>
      </x:c>
      <x:c r="D216" s="14" t="str">
        <x:v>Eyebrow Bleaching</x:v>
      </x:c>
      <x:c r="E216" s="14" t="str">
        <x:v>Standard</x:v>
      </x:c>
      <x:c r="F216" s="18"/>
      <x:c r="G216" s="17" t="n">
        <x:v>60</x:v>
      </x:c>
      <x:c r="H216" s="14" t="str">
        <x:v>per service</x:v>
      </x:c>
      <x:c r="I216" s="14" t="str">
        <x:v>Inclusive of 5% VAT</x:v>
      </x:c>
      <x:c r="J216" s="19" t="str">
        <x:v>https://bedashingbeauty.com/service/face/</x:v>
      </x:c>
      <x:c r="K216" s="14" t="str">
        <x:v>2026-09-03</x:v>
      </x:c>
      <x:c r="L216" s="14" t="str">
        <x:v>Official Bedashing website</x:v>
      </x:c>
      <x:c r="M216" s="14" t="str">
        <x:v>REVIEW_DURATION</x:v>
      </x:c>
      <x:c r="N216" s="20" t="str">
        <x:v>Official page shows price; duration not shown in extracted table.</x:v>
      </x:c>
    </x:row>
    <x:row r="217" ht="15" hidden="0" customHeight="1">
      <x:c r="A217" s="14" t="str">
        <x:v>SVC-0216</x:v>
      </x:c>
      <x:c r="B217" s="14" t="str">
        <x:v>Body &amp; Grooming</x:v>
      </x:c>
      <x:c r="C217" s="14" t="str">
        <x:v>Massages</x:v>
      </x:c>
      <x:c r="D217" s="14" t="str">
        <x:v>BBL Signature Massage</x:v>
      </x:c>
      <x:c r="E217" s="14" t="str">
        <x:v>60 min</x:v>
      </x:c>
      <x:c r="F217" s="18" t="n">
        <x:v>60</x:v>
      </x:c>
      <x:c r="G217" s="17" t="n">
        <x:v>283.5</x:v>
      </x:c>
      <x:c r="H217" s="14" t="str">
        <x:v>per service</x:v>
      </x:c>
      <x:c r="I217" s="14" t="str">
        <x:v>Inclusive of 5% VAT</x:v>
      </x:c>
      <x:c r="J217" s="19" t="str">
        <x:v>https://bedashingbeauty.com/service/body-grooming/</x:v>
      </x:c>
      <x:c r="K217" s="14" t="str">
        <x:v>2026-09-03</x:v>
      </x:c>
      <x:c r="L217" s="14" t="str">
        <x:v>Official Bedashing website</x:v>
      </x:c>
      <x:c r="M217" s="14" t="str">
        <x:v>OK</x:v>
      </x:c>
      <x:c r="N217" s="20" t="str"/>
    </x:row>
    <x:row r="218" ht="15" hidden="0" customHeight="1">
      <x:c r="A218" s="14" t="str">
        <x:v>SVC-0217</x:v>
      </x:c>
      <x:c r="B218" s="14" t="str">
        <x:v>Body &amp; Grooming</x:v>
      </x:c>
      <x:c r="C218" s="14" t="str">
        <x:v>Massages</x:v>
      </x:c>
      <x:c r="D218" s="14" t="str">
        <x:v>BBL Signature Massage</x:v>
      </x:c>
      <x:c r="E218" s="14" t="str">
        <x:v>90 min</x:v>
      </x:c>
      <x:c r="F218" s="18" t="n">
        <x:v>90</x:v>
      </x:c>
      <x:c r="G218" s="17" t="n">
        <x:v>336</x:v>
      </x:c>
      <x:c r="H218" s="14" t="str">
        <x:v>per service</x:v>
      </x:c>
      <x:c r="I218" s="14" t="str">
        <x:v>Inclusive of 5% VAT</x:v>
      </x:c>
      <x:c r="J218" s="19" t="str">
        <x:v>https://bedashingbeauty.com/service/body-grooming/</x:v>
      </x:c>
      <x:c r="K218" s="14" t="str">
        <x:v>2026-09-03</x:v>
      </x:c>
      <x:c r="L218" s="14" t="str">
        <x:v>Official Bedashing website</x:v>
      </x:c>
      <x:c r="M218" s="14" t="str">
        <x:v>OK</x:v>
      </x:c>
      <x:c r="N218" s="20" t="str"/>
    </x:row>
    <x:row r="219" ht="15" hidden="0" customHeight="1">
      <x:c r="A219" s="14" t="str">
        <x:v>SVC-0218</x:v>
      </x:c>
      <x:c r="B219" s="14" t="str">
        <x:v>Body &amp; Grooming</x:v>
      </x:c>
      <x:c r="C219" s="14" t="str">
        <x:v>Massages</x:v>
      </x:c>
      <x:c r="D219" s="14" t="str">
        <x:v>BBL Deep Tissue Massage</x:v>
      </x:c>
      <x:c r="E219" s="14" t="str">
        <x:v>60 min</x:v>
      </x:c>
      <x:c r="F219" s="18" t="n">
        <x:v>60</x:v>
      </x:c>
      <x:c r="G219" s="17" t="n">
        <x:v>304.5</x:v>
      </x:c>
      <x:c r="H219" s="14" t="str">
        <x:v>per service</x:v>
      </x:c>
      <x:c r="I219" s="14" t="str">
        <x:v>Inclusive of 5% VAT</x:v>
      </x:c>
      <x:c r="J219" s="19" t="str">
        <x:v>https://bedashingbeauty.com/service/body-grooming/</x:v>
      </x:c>
      <x:c r="K219" s="14" t="str">
        <x:v>2026-09-03</x:v>
      </x:c>
      <x:c r="L219" s="14" t="str">
        <x:v>Official Bedashing website</x:v>
      </x:c>
      <x:c r="M219" s="14" t="str">
        <x:v>OK</x:v>
      </x:c>
      <x:c r="N219" s="20" t="str"/>
    </x:row>
    <x:row r="220" ht="15" hidden="0" customHeight="1">
      <x:c r="A220" s="14" t="str">
        <x:v>SVC-0219</x:v>
      </x:c>
      <x:c r="B220" s="14" t="str">
        <x:v>Body &amp; Grooming</x:v>
      </x:c>
      <x:c r="C220" s="14" t="str">
        <x:v>Massages</x:v>
      </x:c>
      <x:c r="D220" s="14" t="str">
        <x:v>BBL Deep Tissue Massage</x:v>
      </x:c>
      <x:c r="E220" s="14" t="str">
        <x:v>90 min</x:v>
      </x:c>
      <x:c r="F220" s="18" t="n">
        <x:v>90</x:v>
      </x:c>
      <x:c r="G220" s="17" t="n">
        <x:v>357</x:v>
      </x:c>
      <x:c r="H220" s="14" t="str">
        <x:v>per service</x:v>
      </x:c>
      <x:c r="I220" s="14" t="str">
        <x:v>Inclusive of 5% VAT</x:v>
      </x:c>
      <x:c r="J220" s="19" t="str">
        <x:v>https://bedashingbeauty.com/service/body-grooming/</x:v>
      </x:c>
      <x:c r="K220" s="14" t="str">
        <x:v>2026-09-03</x:v>
      </x:c>
      <x:c r="L220" s="14" t="str">
        <x:v>Official Bedashing website</x:v>
      </x:c>
      <x:c r="M220" s="14" t="str">
        <x:v>OK</x:v>
      </x:c>
      <x:c r="N220" s="20" t="str"/>
    </x:row>
    <x:row r="221" ht="15" hidden="0" customHeight="1">
      <x:c r="A221" s="14" t="str">
        <x:v>SVC-0220</x:v>
      </x:c>
      <x:c r="B221" s="14" t="str">
        <x:v>Body &amp; Grooming</x:v>
      </x:c>
      <x:c r="C221" s="14" t="str">
        <x:v>Massages</x:v>
      </x:c>
      <x:c r="D221" s="14" t="str">
        <x:v>Hot Stone Massage</x:v>
      </x:c>
      <x:c r="E221" s="14" t="str">
        <x:v>60 min</x:v>
      </x:c>
      <x:c r="F221" s="18" t="n">
        <x:v>60</x:v>
      </x:c>
      <x:c r="G221" s="17" t="n">
        <x:v>304.5</x:v>
      </x:c>
      <x:c r="H221" s="14" t="str">
        <x:v>per service</x:v>
      </x:c>
      <x:c r="I221" s="14" t="str">
        <x:v>Inclusive of 5% VAT</x:v>
      </x:c>
      <x:c r="J221" s="19" t="str">
        <x:v>https://bedashingbeauty.com/service/body-grooming/</x:v>
      </x:c>
      <x:c r="K221" s="14" t="str">
        <x:v>2026-09-03</x:v>
      </x:c>
      <x:c r="L221" s="14" t="str">
        <x:v>Official Bedashing website</x:v>
      </x:c>
      <x:c r="M221" s="14" t="str">
        <x:v>OK</x:v>
      </x:c>
      <x:c r="N221" s="20" t="str"/>
    </x:row>
    <x:row r="222" ht="15" hidden="0" customHeight="1">
      <x:c r="A222" s="14" t="str">
        <x:v>SVC-0221</x:v>
      </x:c>
      <x:c r="B222" s="14" t="str">
        <x:v>Body &amp; Grooming</x:v>
      </x:c>
      <x:c r="C222" s="14" t="str">
        <x:v>Massages</x:v>
      </x:c>
      <x:c r="D222" s="14" t="str">
        <x:v>Hot Stone Massage</x:v>
      </x:c>
      <x:c r="E222" s="14" t="str">
        <x:v>90 min</x:v>
      </x:c>
      <x:c r="F222" s="18" t="n">
        <x:v>90</x:v>
      </x:c>
      <x:c r="G222" s="17" t="n">
        <x:v>357</x:v>
      </x:c>
      <x:c r="H222" s="14" t="str">
        <x:v>per service</x:v>
      </x:c>
      <x:c r="I222" s="14" t="str">
        <x:v>Inclusive of 5% VAT</x:v>
      </x:c>
      <x:c r="J222" s="19" t="str">
        <x:v>https://bedashingbeauty.com/service/body-grooming/</x:v>
      </x:c>
      <x:c r="K222" s="14" t="str">
        <x:v>2026-09-03</x:v>
      </x:c>
      <x:c r="L222" s="14" t="str">
        <x:v>Official Bedashing website</x:v>
      </x:c>
      <x:c r="M222" s="14" t="str">
        <x:v>OK</x:v>
      </x:c>
      <x:c r="N222" s="20" t="str"/>
    </x:row>
    <x:row r="223" ht="15" hidden="0" customHeight="1">
      <x:c r="A223" s="14" t="str">
        <x:v>SVC-0222</x:v>
      </x:c>
      <x:c r="B223" s="14" t="str">
        <x:v>Body &amp; Grooming</x:v>
      </x:c>
      <x:c r="C223" s="14" t="str">
        <x:v>Massages</x:v>
      </x:c>
      <x:c r="D223" s="14" t="str">
        <x:v>Back Massage</x:v>
      </x:c>
      <x:c r="E223" s="14" t="str">
        <x:v>Standard</x:v>
      </x:c>
      <x:c r="F223" s="18" t="n">
        <x:v>30</x:v>
      </x:c>
      <x:c r="G223" s="17" t="n">
        <x:v>157.5</x:v>
      </x:c>
      <x:c r="H223" s="14" t="str">
        <x:v>per service</x:v>
      </x:c>
      <x:c r="I223" s="14" t="str">
        <x:v>Inclusive of 5% VAT</x:v>
      </x:c>
      <x:c r="J223" s="19" t="str">
        <x:v>https://bedashingbeauty.com/service/body-grooming/</x:v>
      </x:c>
      <x:c r="K223" s="14" t="str">
        <x:v>2026-09-03</x:v>
      </x:c>
      <x:c r="L223" s="14" t="str">
        <x:v>Official Bedashing website</x:v>
      </x:c>
      <x:c r="M223" s="14" t="str">
        <x:v>OK</x:v>
      </x:c>
      <x:c r="N223" s="20" t="str"/>
    </x:row>
    <x:row r="224" ht="15" hidden="0" customHeight="1">
      <x:c r="A224" s="14" t="str">
        <x:v>SVC-0223</x:v>
      </x:c>
      <x:c r="B224" s="14" t="str">
        <x:v>Body &amp; Grooming</x:v>
      </x:c>
      <x:c r="C224" s="14" t="str">
        <x:v>Massages</x:v>
      </x:c>
      <x:c r="D224" s="14" t="str">
        <x:v>Madero Therapy</x:v>
      </x:c>
      <x:c r="E224" s="14" t="str">
        <x:v>Standard</x:v>
      </x:c>
      <x:c r="F224" s="18" t="n">
        <x:v>60</x:v>
      </x:c>
      <x:c r="G224" s="17" t="n">
        <x:v>262.5</x:v>
      </x:c>
      <x:c r="H224" s="14" t="str">
        <x:v>per service</x:v>
      </x:c>
      <x:c r="I224" s="14" t="str">
        <x:v>Inclusive of 5% VAT</x:v>
      </x:c>
      <x:c r="J224" s="19" t="str">
        <x:v>https://bedashingbeauty.com/service/body-grooming/</x:v>
      </x:c>
      <x:c r="K224" s="14" t="str">
        <x:v>2026-09-03</x:v>
      </x:c>
      <x:c r="L224" s="14" t="str">
        <x:v>Official Bedashing website</x:v>
      </x:c>
      <x:c r="M224" s="14" t="str">
        <x:v>OK</x:v>
      </x:c>
      <x:c r="N224" s="20" t="str"/>
    </x:row>
    <x:row r="225" ht="15" hidden="0" customHeight="1">
      <x:c r="A225" s="14" t="str">
        <x:v>SVC-0224</x:v>
      </x:c>
      <x:c r="B225" s="14" t="str">
        <x:v>Body &amp; Grooming</x:v>
      </x:c>
      <x:c r="C225" s="14" t="str">
        <x:v>Moroccan Bath</x:v>
      </x:c>
      <x:c r="D225" s="14" t="str">
        <x:v>Traditional Hammam</x:v>
      </x:c>
      <x:c r="E225" s="14" t="str">
        <x:v>Standard</x:v>
      </x:c>
      <x:c r="F225" s="18" t="n">
        <x:v>60</x:v>
      </x:c>
      <x:c r="G225" s="17" t="n">
        <x:v>250</x:v>
      </x:c>
      <x:c r="H225" s="14" t="str">
        <x:v>per service</x:v>
      </x:c>
      <x:c r="I225" s="14" t="str">
        <x:v>Inclusive of 5% VAT</x:v>
      </x:c>
      <x:c r="J225" s="19" t="str">
        <x:v>https://bedashingbeauty.com/service/body-grooming/</x:v>
      </x:c>
      <x:c r="K225" s="14" t="str">
        <x:v>2026-09-03</x:v>
      </x:c>
      <x:c r="L225" s="14" t="str">
        <x:v>Official Bedashing website</x:v>
      </x:c>
      <x:c r="M225" s="14" t="str">
        <x:v>OK</x:v>
      </x:c>
      <x:c r="N225" s="20" t="str"/>
    </x:row>
    <x:row r="226" ht="15" hidden="0" customHeight="1">
      <x:c r="A226" s="14" t="str">
        <x:v>SVC-0225</x:v>
      </x:c>
      <x:c r="B226" s="14" t="str">
        <x:v>Body &amp; Grooming</x:v>
      </x:c>
      <x:c r="C226" s="14" t="str">
        <x:v>Moroccan Bath</x:v>
      </x:c>
      <x:c r="D226" s="14" t="str">
        <x:v>Citrus Royale Glow</x:v>
      </x:c>
      <x:c r="E226" s="14" t="str">
        <x:v>Standard</x:v>
      </x:c>
      <x:c r="F226" s="18" t="n">
        <x:v>90</x:v>
      </x:c>
      <x:c r="G226" s="17" t="n">
        <x:v>350</x:v>
      </x:c>
      <x:c r="H226" s="14" t="str">
        <x:v>per service</x:v>
      </x:c>
      <x:c r="I226" s="14" t="str">
        <x:v>Inclusive of 5% VAT</x:v>
      </x:c>
      <x:c r="J226" s="19" t="str">
        <x:v>https://bedashingbeauty.com/service/body-grooming/</x:v>
      </x:c>
      <x:c r="K226" s="14" t="str">
        <x:v>2026-09-03</x:v>
      </x:c>
      <x:c r="L226" s="14" t="str">
        <x:v>Official Bedashing website</x:v>
      </x:c>
      <x:c r="M226" s="14" t="str">
        <x:v>OK</x:v>
      </x:c>
      <x:c r="N226" s="20" t="str"/>
    </x:row>
    <x:row r="227" ht="15" hidden="0" customHeight="1">
      <x:c r="A227" s="14" t="str">
        <x:v>SVC-0226</x:v>
      </x:c>
      <x:c r="B227" s="14" t="str">
        <x:v>Body &amp; Grooming</x:v>
      </x:c>
      <x:c r="C227" s="14" t="str">
        <x:v>Moroccan Bath</x:v>
      </x:c>
      <x:c r="D227" s="14" t="str">
        <x:v>Herbal Detox</x:v>
      </x:c>
      <x:c r="E227" s="14" t="str">
        <x:v>Standard</x:v>
      </x:c>
      <x:c r="F227" s="18" t="n">
        <x:v>90</x:v>
      </x:c>
      <x:c r="G227" s="17" t="n">
        <x:v>350</x:v>
      </x:c>
      <x:c r="H227" s="14" t="str">
        <x:v>per service</x:v>
      </x:c>
      <x:c r="I227" s="14" t="str">
        <x:v>Inclusive of 5% VAT</x:v>
      </x:c>
      <x:c r="J227" s="19" t="str">
        <x:v>https://bedashingbeauty.com/service/body-grooming/</x:v>
      </x:c>
      <x:c r="K227" s="14" t="str">
        <x:v>2026-09-03</x:v>
      </x:c>
      <x:c r="L227" s="14" t="str">
        <x:v>Official Bedashing website</x:v>
      </x:c>
      <x:c r="M227" s="14" t="str">
        <x:v>OK</x:v>
      </x:c>
      <x:c r="N227" s="20" t="str"/>
    </x:row>
    <x:row r="228" ht="15" hidden="0" customHeight="1">
      <x:c r="A228" s="14" t="str">
        <x:v>SVC-0227</x:v>
      </x:c>
      <x:c r="B228" s="14" t="str">
        <x:v>Body &amp; Grooming</x:v>
      </x:c>
      <x:c r="C228" s="14" t="str">
        <x:v>Hair Removal</x:v>
      </x:c>
      <x:c r="D228" s="14" t="str">
        <x:v>Full Body Wax</x:v>
      </x:c>
      <x:c r="E228" s="14" t="str">
        <x:v>Standard</x:v>
      </x:c>
      <x:c r="F228" s="18" t="n">
        <x:v>75</x:v>
      </x:c>
      <x:c r="G228" s="17" t="n">
        <x:v>331</x:v>
      </x:c>
      <x:c r="H228" s="14" t="str">
        <x:v>per service</x:v>
      </x:c>
      <x:c r="I228" s="14" t="str">
        <x:v>Inclusive of 5% VAT</x:v>
      </x:c>
      <x:c r="J228" s="19" t="str">
        <x:v>https://bedashingbeauty.com/service/body-grooming/</x:v>
      </x:c>
      <x:c r="K228" s="14" t="str">
        <x:v>2026-09-03</x:v>
      </x:c>
      <x:c r="L228" s="14" t="str">
        <x:v>Official Bedashing website</x:v>
      </x:c>
      <x:c r="M228" s="14" t="str">
        <x:v>OK</x:v>
      </x:c>
      <x:c r="N228" s="20" t="str"/>
    </x:row>
    <x:row r="229" ht="15" hidden="0" customHeight="1">
      <x:c r="A229" s="14" t="str">
        <x:v>SVC-0228</x:v>
      </x:c>
      <x:c r="B229" s="14" t="str">
        <x:v>Body &amp; Grooming</x:v>
      </x:c>
      <x:c r="C229" s="14" t="str">
        <x:v>Hair Removal</x:v>
      </x:c>
      <x:c r="D229" s="14" t="str">
        <x:v>Full Body Halawa</x:v>
      </x:c>
      <x:c r="E229" s="14" t="str">
        <x:v>Standard</x:v>
      </x:c>
      <x:c r="F229" s="18" t="n">
        <x:v>90</x:v>
      </x:c>
      <x:c r="G229" s="17" t="n">
        <x:v>420</x:v>
      </x:c>
      <x:c r="H229" s="14" t="str">
        <x:v>per service</x:v>
      </x:c>
      <x:c r="I229" s="14" t="str">
        <x:v>Inclusive of 5% VAT</x:v>
      </x:c>
      <x:c r="J229" s="19" t="str">
        <x:v>https://bedashingbeauty.com/service/body-grooming/</x:v>
      </x:c>
      <x:c r="K229" s="14" t="str">
        <x:v>2026-09-03</x:v>
      </x:c>
      <x:c r="L229" s="14" t="str">
        <x:v>Official Bedashing website</x:v>
      </x:c>
      <x:c r="M229" s="14" t="str">
        <x:v>OK</x:v>
      </x:c>
      <x:c r="N229" s="20" t="str"/>
    </x:row>
    <x:row r="230" ht="15" hidden="0" customHeight="1">
      <x:c r="A230" s="14" t="str">
        <x:v>SVC-0229</x:v>
      </x:c>
      <x:c r="B230" s="14" t="str">
        <x:v>Body &amp; Grooming</x:v>
      </x:c>
      <x:c r="C230" s="14" t="str">
        <x:v>Hair Removal</x:v>
      </x:c>
      <x:c r="D230" s="14" t="str">
        <x:v>Full Legs Wax</x:v>
      </x:c>
      <x:c r="E230" s="14" t="str">
        <x:v>Standard</x:v>
      </x:c>
      <x:c r="F230" s="18" t="n">
        <x:v>30</x:v>
      </x:c>
      <x:c r="G230" s="17" t="n">
        <x:v>105</x:v>
      </x:c>
      <x:c r="H230" s="14" t="str">
        <x:v>per service</x:v>
      </x:c>
      <x:c r="I230" s="14" t="str">
        <x:v>Inclusive of 5% VAT</x:v>
      </x:c>
      <x:c r="J230" s="19" t="str">
        <x:v>https://bedashingbeauty.com/service/body-grooming/</x:v>
      </x:c>
      <x:c r="K230" s="14" t="str">
        <x:v>2026-09-03</x:v>
      </x:c>
      <x:c r="L230" s="14" t="str">
        <x:v>Official Bedashing website</x:v>
      </x:c>
      <x:c r="M230" s="14" t="str">
        <x:v>OK</x:v>
      </x:c>
      <x:c r="N230" s="20" t="str"/>
    </x:row>
    <x:row r="231" ht="15" hidden="0" customHeight="1">
      <x:c r="A231" s="14" t="str">
        <x:v>SVC-0230</x:v>
      </x:c>
      <x:c r="B231" s="14" t="str">
        <x:v>Body &amp; Grooming</x:v>
      </x:c>
      <x:c r="C231" s="14" t="str">
        <x:v>Hair Removal</x:v>
      </x:c>
      <x:c r="D231" s="14" t="str">
        <x:v>Small Body Area Wax</x:v>
      </x:c>
      <x:c r="E231" s="14" t="str">
        <x:v>Standard</x:v>
      </x:c>
      <x:c r="F231" s="18" t="n">
        <x:v>20</x:v>
      </x:c>
      <x:c r="G231" s="17" t="n">
        <x:v>78</x:v>
      </x:c>
      <x:c r="H231" s="14" t="str">
        <x:v>per area</x:v>
      </x:c>
      <x:c r="I231" s="14" t="str">
        <x:v>Inclusive of 5% VAT</x:v>
      </x:c>
      <x:c r="J231" s="19" t="str">
        <x:v>https://bedashingbeauty.com/service/body-grooming/</x:v>
      </x:c>
      <x:c r="K231" s="14" t="str">
        <x:v>2026-09-03</x:v>
      </x:c>
      <x:c r="L231" s="14" t="str">
        <x:v>Official Bedashing website</x:v>
      </x:c>
      <x:c r="M231" s="14" t="str">
        <x:v>OK</x:v>
      </x:c>
      <x:c r="N231" s="20" t="str"/>
    </x:row>
    <x:row r="232" ht="15" hidden="0" customHeight="1">
      <x:c r="A232" s="14" t="str">
        <x:v>SVC-0231</x:v>
      </x:c>
      <x:c r="B232" s="14" t="str">
        <x:v>Body &amp; Grooming</x:v>
      </x:c>
      <x:c r="C232" s="14" t="str">
        <x:v>Hair Removal</x:v>
      </x:c>
      <x:c r="D232" s="14" t="str">
        <x:v>Small Face Area Wax/Threading</x:v>
      </x:c>
      <x:c r="E232" s="14" t="str">
        <x:v>Standard</x:v>
      </x:c>
      <x:c r="F232" s="18" t="n">
        <x:v>10</x:v>
      </x:c>
      <x:c r="G232" s="17" t="n">
        <x:v>36</x:v>
      </x:c>
      <x:c r="H232" s="14" t="str">
        <x:v>per area</x:v>
      </x:c>
      <x:c r="I232" s="14" t="str">
        <x:v>Inclusive of 5% VAT</x:v>
      </x:c>
      <x:c r="J232" s="19" t="str">
        <x:v>https://bedashingbeauty.com/service/body-grooming/</x:v>
      </x:c>
      <x:c r="K232" s="14" t="str">
        <x:v>2026-09-03</x:v>
      </x:c>
      <x:c r="L232" s="14" t="str">
        <x:v>Official Bedashing website</x:v>
      </x:c>
      <x:c r="M232" s="14" t="str">
        <x:v>OK</x:v>
      </x:c>
      <x:c r="N232" s="20" t="str"/>
    </x:row>
    <x:row r="233" ht="15" hidden="0" customHeight="1">
      <x:c r="A233" s="14" t="str">
        <x:v>SVC-0232</x:v>
      </x:c>
      <x:c r="B233" s="14" t="str">
        <x:v>Body &amp; Grooming</x:v>
      </x:c>
      <x:c r="C233" s="14" t="str">
        <x:v>Hair Removal</x:v>
      </x:c>
      <x:c r="D233" s="14" t="str">
        <x:v>Dare to Bare</x:v>
      </x:c>
      <x:c r="E233" s="14" t="str">
        <x:v>Standard</x:v>
      </x:c>
      <x:c r="F233" s="18" t="n">
        <x:v>140</x:v>
      </x:c>
      <x:c r="G233" s="17" t="n">
        <x:v>140</x:v>
      </x:c>
      <x:c r="H233" s="14" t="str">
        <x:v>per service</x:v>
      </x:c>
      <x:c r="I233" s="14" t="str">
        <x:v>Inclusive of 5% VAT</x:v>
      </x:c>
      <x:c r="J233" s="19" t="str">
        <x:v>https://bedashingbeauty.com/service/body-grooming/</x:v>
      </x:c>
      <x:c r="K233" s="14" t="str">
        <x:v>2026-09-03</x:v>
      </x:c>
      <x:c r="L233" s="14" t="str">
        <x:v>Official Bedashing website</x:v>
      </x:c>
      <x:c r="M233" s="14" t="str">
        <x:v>REVIEW_PRICE</x:v>
      </x:c>
      <x:c r="N233" s="20" t="str">
        <x:v>Official page value retained; duration and price are both 140.</x:v>
      </x:c>
    </x:row>
    <x:row r="234" ht="15" hidden="0" customHeight="1">
      <x:c r="A234" s="14" t="str">
        <x:v>SVC-0233</x:v>
      </x:c>
      <x:c r="B234" s="14" t="str">
        <x:v>Body &amp; Grooming</x:v>
      </x:c>
      <x:c r="C234" s="14" t="str">
        <x:v>Hair Removal</x:v>
      </x:c>
      <x:c r="D234" s="14" t="str">
        <x:v>Under Arms</x:v>
      </x:c>
      <x:c r="E234" s="14" t="str">
        <x:v>Standard</x:v>
      </x:c>
      <x:c r="F234" s="18" t="n">
        <x:v>10</x:v>
      </x:c>
      <x:c r="G234" s="17" t="n">
        <x:v>58</x:v>
      </x:c>
      <x:c r="H234" s="14" t="str">
        <x:v>per service</x:v>
      </x:c>
      <x:c r="I234" s="14" t="str">
        <x:v>Inclusive of 5% VAT</x:v>
      </x:c>
      <x:c r="J234" s="19" t="str">
        <x:v>https://bedashingbeauty.com/service/body-grooming/</x:v>
      </x:c>
      <x:c r="K234" s="14" t="str">
        <x:v>2026-09-03</x:v>
      </x:c>
      <x:c r="L234" s="14" t="str">
        <x:v>Official Bedashing website</x:v>
      </x:c>
      <x:c r="M234" s="14" t="str">
        <x:v>OK</x:v>
      </x:c>
      <x:c r="N234" s="20" t="str"/>
    </x:row>
    <x:row r="235" ht="15" hidden="0" customHeight="1">
      <x:c r="A235" s="14" t="str">
        <x:v>SVC-0234</x:v>
      </x:c>
      <x:c r="B235" s="14" t="str">
        <x:v>Body &amp; Grooming</x:v>
      </x:c>
      <x:c r="C235" s="14" t="str">
        <x:v>Hair Removal</x:v>
      </x:c>
      <x:c r="D235" s="14" t="str">
        <x:v>Eyebrow Shaping Threading/Wax</x:v>
      </x:c>
      <x:c r="E235" s="14" t="str">
        <x:v>Standard</x:v>
      </x:c>
      <x:c r="F235" s="18" t="n">
        <x:v>15</x:v>
      </x:c>
      <x:c r="G235" s="17" t="n">
        <x:v>50</x:v>
      </x:c>
      <x:c r="H235" s="14" t="str">
        <x:v>per service</x:v>
      </x:c>
      <x:c r="I235" s="14" t="str">
        <x:v>Inclusive of 5% VAT</x:v>
      </x:c>
      <x:c r="J235" s="19" t="str">
        <x:v>https://bedashingbeauty.com/service/body-grooming/</x:v>
      </x:c>
      <x:c r="K235" s="14" t="str">
        <x:v>2026-09-03</x:v>
      </x:c>
      <x:c r="L235" s="14" t="str">
        <x:v>Official Bedashing website</x:v>
      </x:c>
      <x:c r="M235" s="14" t="str">
        <x:v>OK</x:v>
      </x:c>
      <x:c r="N235" s="20" t="str"/>
    </x:row>
    <x:row r="236" ht="15" hidden="0" customHeight="1">
      <x:c r="A236" s="14" t="str">
        <x:v>SVC-0235</x:v>
      </x:c>
      <x:c r="B236" s="14" t="str">
        <x:v>Body &amp; Grooming</x:v>
      </x:c>
      <x:c r="C236" s="14" t="str">
        <x:v>Hair Removal</x:v>
      </x:c>
      <x:c r="D236" s="14" t="str">
        <x:v>Shaving</x:v>
      </x:c>
      <x:c r="E236" s="14" t="str">
        <x:v>Standard</x:v>
      </x:c>
      <x:c r="F236" s="18" t="n">
        <x:v>15</x:v>
      </x:c>
      <x:c r="G236" s="17" t="n">
        <x:v>57</x:v>
      </x:c>
      <x:c r="H236" s="14" t="str">
        <x:v>per service</x:v>
      </x:c>
      <x:c r="I236" s="14" t="str">
        <x:v>Inclusive of 5% VAT</x:v>
      </x:c>
      <x:c r="J236" s="19" t="str">
        <x:v>https://bedashingbeauty.com/service/body-grooming/</x:v>
      </x:c>
      <x:c r="K236" s="14" t="str">
        <x:v>2026-09-03</x:v>
      </x:c>
      <x:c r="L236" s="14" t="str">
        <x:v>Official Bedashing website</x:v>
      </x:c>
      <x:c r="M236" s="14" t="str">
        <x:v>OK</x:v>
      </x:c>
      <x:c r="N236" s="20" t="str"/>
    </x:row>
    <x:row r="237" ht="15" hidden="0" customHeight="1">
      <x:c r="A237" s="14" t="str">
        <x:v>SVC-0236</x:v>
      </x:c>
      <x:c r="B237" s="14" t="str">
        <x:v>Body &amp; Grooming</x:v>
      </x:c>
      <x:c r="C237" s="14" t="str">
        <x:v>Hair Removal</x:v>
      </x:c>
      <x:c r="D237" s="14" t="str">
        <x:v>Eyebrow Bleaching</x:v>
      </x:c>
      <x:c r="E237" s="14" t="str">
        <x:v>Standard</x:v>
      </x:c>
      <x:c r="F237" s="18" t="n">
        <x:v>20</x:v>
      </x:c>
      <x:c r="G237" s="17" t="n">
        <x:v>63</x:v>
      </x:c>
      <x:c r="H237" s="14" t="str">
        <x:v>per service</x:v>
      </x:c>
      <x:c r="I237" s="14" t="str">
        <x:v>Inclusive of 5% VAT</x:v>
      </x:c>
      <x:c r="J237" s="19" t="str">
        <x:v>https://bedashingbeauty.com/service/body-grooming/</x:v>
      </x:c>
      <x:c r="K237" s="14" t="str">
        <x:v>2026-09-03</x:v>
      </x:c>
      <x:c r="L237" s="14" t="str">
        <x:v>Official Bedashing website</x:v>
      </x:c>
      <x:c r="M237" s="14" t="str">
        <x:v>OK</x:v>
      </x:c>
      <x:c r="N237" s="20" t="str"/>
    </x:row>
    <x:row r="238" ht="15" hidden="0" customHeight="1">
      <x:c r="A238" s="14" t="str">
        <x:v>SVC-0237</x:v>
      </x:c>
      <x:c r="B238" s="14" t="str">
        <x:v>Body &amp; Grooming</x:v>
      </x:c>
      <x:c r="C238" s="14" t="str">
        <x:v>Hair Removal</x:v>
      </x:c>
      <x:c r="D238" s="14" t="str">
        <x:v>Full Face Bleach/Wax/Thread</x:v>
      </x:c>
      <x:c r="E238" s="14" t="str">
        <x:v>Standard</x:v>
      </x:c>
      <x:c r="F238" s="18" t="n">
        <x:v>20</x:v>
      </x:c>
      <x:c r="G238" s="17" t="n">
        <x:v>84</x:v>
      </x:c>
      <x:c r="H238" s="14" t="str">
        <x:v>per service</x:v>
      </x:c>
      <x:c r="I238" s="14" t="str">
        <x:v>Inclusive of 5% VAT</x:v>
      </x:c>
      <x:c r="J238" s="19" t="str">
        <x:v>https://bedashingbeauty.com/service/body-grooming/</x:v>
      </x:c>
      <x:c r="K238" s="14" t="str">
        <x:v>2026-09-03</x:v>
      </x:c>
      <x:c r="L238" s="14" t="str">
        <x:v>Official Bedashing website</x:v>
      </x:c>
      <x:c r="M238" s="14" t="str">
        <x:v>OK</x:v>
      </x:c>
      <x:c r="N238" s="20" t="str"/>
    </x:row>
    <x:row r="239" ht="15" hidden="0" customHeight="1">
      <x:c r="A239" s="14" t="str">
        <x:v>SVC-0238</x:v>
      </x:c>
      <x:c r="B239" s="14" t="str">
        <x:v>Body &amp; Grooming</x:v>
      </x:c>
      <x:c r="C239" s="14" t="str">
        <x:v>Tinting</x:v>
      </x:c>
      <x:c r="D239" s="14" t="str">
        <x:v>Eyebrow Tinting</x:v>
      </x:c>
      <x:c r="E239" s="14" t="str">
        <x:v>Standard</x:v>
      </x:c>
      <x:c r="F239" s="18" t="n">
        <x:v>20</x:v>
      </x:c>
      <x:c r="G239" s="17" t="n">
        <x:v>52</x:v>
      </x:c>
      <x:c r="H239" s="14" t="str">
        <x:v>per service</x:v>
      </x:c>
      <x:c r="I239" s="14" t="str">
        <x:v>Inclusive of 5% VAT</x:v>
      </x:c>
      <x:c r="J239" s="19" t="str">
        <x:v>https://bedashingbeauty.com/service/body-grooming/</x:v>
      </x:c>
      <x:c r="K239" s="14" t="str">
        <x:v>2026-09-03</x:v>
      </x:c>
      <x:c r="L239" s="14" t="str">
        <x:v>Official Bedashing website</x:v>
      </x:c>
      <x:c r="M239" s="14" t="str">
        <x:v>OK</x:v>
      </x:c>
      <x:c r="N239" s="20" t="str"/>
    </x:row>
    <x:row r="240" ht="15" hidden="0" customHeight="1">
      <x:c r="A240" s="14" t="str">
        <x:v>SVC-0239</x:v>
      </x:c>
      <x:c r="B240" s="14" t="str">
        <x:v>Body &amp; Grooming</x:v>
      </x:c>
      <x:c r="C240" s="14" t="str">
        <x:v>Henna</x:v>
      </x:c>
      <x:c r="D240" s="14" t="str">
        <x:v>Body Henna Small</x:v>
      </x:c>
      <x:c r="E240" s="14" t="str">
        <x:v>Standard</x:v>
      </x:c>
      <x:c r="F240" s="18" t="n">
        <x:v>30</x:v>
      </x:c>
      <x:c r="G240" s="17" t="n">
        <x:v>105</x:v>
      </x:c>
      <x:c r="H240" s="14" t="str">
        <x:v>per service</x:v>
      </x:c>
      <x:c r="I240" s="14" t="str">
        <x:v>Inclusive of 5% VAT</x:v>
      </x:c>
      <x:c r="J240" s="19" t="str">
        <x:v>https://bedashingbeauty.com/service/body-grooming/</x:v>
      </x:c>
      <x:c r="K240" s="14" t="str">
        <x:v>2026-09-03</x:v>
      </x:c>
      <x:c r="L240" s="14" t="str">
        <x:v>Official Bedashing website</x:v>
      </x:c>
      <x:c r="M240" s="14" t="str">
        <x:v>OK</x:v>
      </x:c>
      <x:c r="N240" s="20" t="str"/>
    </x:row>
    <x:row r="241" ht="15" hidden="0" customHeight="1">
      <x:c r="A241" s="14" t="str">
        <x:v>SVC-0240</x:v>
      </x:c>
      <x:c r="B241" s="14" t="str">
        <x:v>Body &amp; Grooming</x:v>
      </x:c>
      <x:c r="C241" s="14" t="str">
        <x:v>Henna</x:v>
      </x:c>
      <x:c r="D241" s="14" t="str">
        <x:v>Body Henna Large</x:v>
      </x:c>
      <x:c r="E241" s="14" t="str">
        <x:v>Standard</x:v>
      </x:c>
      <x:c r="F241" s="18" t="n">
        <x:v>60</x:v>
      </x:c>
      <x:c r="G241" s="17" t="n">
        <x:v>315</x:v>
      </x:c>
      <x:c r="H241" s="14" t="str">
        <x:v>per service</x:v>
      </x:c>
      <x:c r="I241" s="14" t="str">
        <x:v>Inclusive of 5% VAT</x:v>
      </x:c>
      <x:c r="J241" s="19" t="str">
        <x:v>https://bedashingbeauty.com/service/body-grooming/</x:v>
      </x:c>
      <x:c r="K241" s="14" t="str">
        <x:v>2026-09-03</x:v>
      </x:c>
      <x:c r="L241" s="14" t="str">
        <x:v>Official Bedashing website</x:v>
      </x:c>
      <x:c r="M241" s="14" t="str">
        <x:v>OK</x:v>
      </x:c>
      <x:c r="N241" s="20" t="str"/>
    </x:row>
    <x:row r="242" ht="15" hidden="0" customHeight="1">
      <x:c r="A242" s="14" t="str">
        <x:v>SVC-0241</x:v>
      </x:c>
      <x:c r="B242" s="14" t="str">
        <x:v>Body &amp; Grooming</x:v>
      </x:c>
      <x:c r="C242" s="14" t="str">
        <x:v>Henna</x:v>
      </x:c>
      <x:c r="D242" s="14" t="str">
        <x:v>Girly Henna Small</x:v>
      </x:c>
      <x:c r="E242" s="14" t="str">
        <x:v>Standard</x:v>
      </x:c>
      <x:c r="F242" s="18" t="n">
        <x:v>10</x:v>
      </x:c>
      <x:c r="G242" s="17" t="n">
        <x:v>262.5</x:v>
      </x:c>
      <x:c r="H242" s="14" t="str">
        <x:v>per service</x:v>
      </x:c>
      <x:c r="I242" s="14" t="str">
        <x:v>Inclusive of 5% VAT</x:v>
      </x:c>
      <x:c r="J242" s="19" t="str">
        <x:v>https://bedashingbeauty.com/service/body-grooming/</x:v>
      </x:c>
      <x:c r="K242" s="14" t="str">
        <x:v>2026-09-03</x:v>
      </x:c>
      <x:c r="L242" s="14" t="str">
        <x:v>Official Bedashing website</x:v>
      </x:c>
      <x:c r="M242" s="14" t="str">
        <x:v>REVIEW_PRICE</x:v>
      </x:c>
      <x:c r="N242" s="20" t="str">
        <x:v>Official page value retained; unusually high relative to body henna.</x:v>
      </x:c>
    </x:row>
    <x:row r="243" ht="15" hidden="0" customHeight="1">
      <x:c r="A243" s="14" t="str">
        <x:v>SVC-0242</x:v>
      </x:c>
      <x:c r="B243" s="14" t="str">
        <x:v>Body &amp; Grooming</x:v>
      </x:c>
      <x:c r="C243" s="14" t="str">
        <x:v>Henna</x:v>
      </x:c>
      <x:c r="D243" s="14" t="str">
        <x:v>Girly Henna Big</x:v>
      </x:c>
      <x:c r="E243" s="14" t="str">
        <x:v>Standard</x:v>
      </x:c>
      <x:c r="F243" s="18" t="n">
        <x:v>15</x:v>
      </x:c>
      <x:c r="G243" s="17" t="n">
        <x:v>315</x:v>
      </x:c>
      <x:c r="H243" s="14" t="str">
        <x:v>per service</x:v>
      </x:c>
      <x:c r="I243" s="14" t="str">
        <x:v>Inclusive of 5% VAT</x:v>
      </x:c>
      <x:c r="J243" s="19" t="str">
        <x:v>https://bedashingbeauty.com/service/body-grooming/</x:v>
      </x:c>
      <x:c r="K243" s="14" t="str">
        <x:v>2026-09-03</x:v>
      </x:c>
      <x:c r="L243" s="14" t="str">
        <x:v>Official Bedashing website</x:v>
      </x:c>
      <x:c r="M243" s="14" t="str">
        <x:v>REVIEW_PRICE</x:v>
      </x:c>
      <x:c r="N243" s="20" t="str">
        <x:v>Official page value retained; unusually high relative to duration.</x:v>
      </x:c>
    </x:row>
    <x:row r="244" ht="15" hidden="0" customHeight="1">
      <x:c r="A244" s="14" t="str">
        <x:v>SVC-0243</x:v>
      </x:c>
      <x:c r="B244" s="14" t="str">
        <x:v>The Romoosh Lash Bar</x:v>
      </x:c>
      <x:c r="C244" s="14" t="str">
        <x:v>Signature Looks</x:v>
      </x:c>
      <x:c r="D244" s="14" t="str">
        <x:v>Kim K | Classic</x:v>
      </x:c>
      <x:c r="E244" s="14" t="str">
        <x:v>One Time Application</x:v>
      </x:c>
      <x:c r="F244" s="18"/>
      <x:c r="G244" s="17" t="n">
        <x:v>350</x:v>
      </x:c>
      <x:c r="H244" s="14" t="str">
        <x:v>per service</x:v>
      </x:c>
      <x:c r="I244" s="14" t="str">
        <x:v>Exclusive of 5% VAT</x:v>
      </x:c>
      <x:c r="J244" s="19" t="str">
        <x:v>https://bedashingbeauty.com/service/the-romoosh-lash-bar/</x:v>
      </x:c>
      <x:c r="K244" s="14" t="str">
        <x:v>2026-09-03</x:v>
      </x:c>
      <x:c r="L244" s="14" t="str">
        <x:v>Official Bedashing website</x:v>
      </x:c>
      <x:c r="M244" s="14" t="str">
        <x:v>OK</x:v>
      </x:c>
      <x:c r="N244" s="20" t="str">
        <x:v>Natural, defined look</x:v>
      </x:c>
    </x:row>
    <x:row r="245" ht="15" hidden="0" customHeight="1">
      <x:c r="A245" s="14" t="str">
        <x:v>SVC-0244</x:v>
      </x:c>
      <x:c r="B245" s="14" t="str">
        <x:v>The Romoosh Lash Bar</x:v>
      </x:c>
      <x:c r="C245" s="14" t="str">
        <x:v>Signature Looks</x:v>
      </x:c>
      <x:c r="D245" s="14" t="str">
        <x:v>Kim K | Classic</x:v>
      </x:c>
      <x:c r="E245" s="14" t="str">
        <x:v>Package with Free Refill</x:v>
      </x:c>
      <x:c r="F245" s="18"/>
      <x:c r="G245" s="17" t="n">
        <x:v>500</x:v>
      </x:c>
      <x:c r="H245" s="14" t="str">
        <x:v>per service</x:v>
      </x:c>
      <x:c r="I245" s="14" t="str">
        <x:v>Exclusive of 5% VAT</x:v>
      </x:c>
      <x:c r="J245" s="19" t="str">
        <x:v>https://bedashingbeauty.com/service/the-romoosh-lash-bar/</x:v>
      </x:c>
      <x:c r="K245" s="14" t="str">
        <x:v>2026-09-03</x:v>
      </x:c>
      <x:c r="L245" s="14" t="str">
        <x:v>Official Bedashing website</x:v>
      </x:c>
      <x:c r="M245" s="14" t="str">
        <x:v>OK</x:v>
      </x:c>
      <x:c r="N245" s="20" t="str">
        <x:v>Natural, defined look</x:v>
      </x:c>
    </x:row>
    <x:row r="246" ht="15" hidden="0" customHeight="1">
      <x:c r="A246" s="14" t="str">
        <x:v>SVC-0245</x:v>
      </x:c>
      <x:c r="B246" s="14" t="str">
        <x:v>The Romoosh Lash Bar</x:v>
      </x:c>
      <x:c r="C246" s="14" t="str">
        <x:v>Signature Looks</x:v>
      </x:c>
      <x:c r="D246" s="14" t="str">
        <x:v>Kylie | Drama</x:v>
      </x:c>
      <x:c r="E246" s="14" t="str">
        <x:v>One Time Application</x:v>
      </x:c>
      <x:c r="F246" s="18"/>
      <x:c r="G246" s="17" t="n">
        <x:v>350</x:v>
      </x:c>
      <x:c r="H246" s="14" t="str">
        <x:v>per service</x:v>
      </x:c>
      <x:c r="I246" s="14" t="str">
        <x:v>Exclusive of 5% VAT</x:v>
      </x:c>
      <x:c r="J246" s="19" t="str">
        <x:v>https://bedashingbeauty.com/service/the-romoosh-lash-bar/</x:v>
      </x:c>
      <x:c r="K246" s="14" t="str">
        <x:v>2026-09-03</x:v>
      </x:c>
      <x:c r="L246" s="14" t="str">
        <x:v>Official Bedashing website</x:v>
      </x:c>
      <x:c r="M246" s="14" t="str">
        <x:v>OK</x:v>
      </x:c>
      <x:c r="N246" s="20" t="str">
        <x:v>Extra volume &amp; length</x:v>
      </x:c>
    </x:row>
    <x:row r="247" ht="15" hidden="0" customHeight="1">
      <x:c r="A247" s="14" t="str">
        <x:v>SVC-0246</x:v>
      </x:c>
      <x:c r="B247" s="14" t="str">
        <x:v>The Romoosh Lash Bar</x:v>
      </x:c>
      <x:c r="C247" s="14" t="str">
        <x:v>Signature Looks</x:v>
      </x:c>
      <x:c r="D247" s="14" t="str">
        <x:v>Kylie | Drama</x:v>
      </x:c>
      <x:c r="E247" s="14" t="str">
        <x:v>Package with Free Refill</x:v>
      </x:c>
      <x:c r="F247" s="18"/>
      <x:c r="G247" s="17" t="n">
        <x:v>500</x:v>
      </x:c>
      <x:c r="H247" s="14" t="str">
        <x:v>per service</x:v>
      </x:c>
      <x:c r="I247" s="14" t="str">
        <x:v>Exclusive of 5% VAT</x:v>
      </x:c>
      <x:c r="J247" s="19" t="str">
        <x:v>https://bedashingbeauty.com/service/the-romoosh-lash-bar/</x:v>
      </x:c>
      <x:c r="K247" s="14" t="str">
        <x:v>2026-09-03</x:v>
      </x:c>
      <x:c r="L247" s="14" t="str">
        <x:v>Official Bedashing website</x:v>
      </x:c>
      <x:c r="M247" s="14" t="str">
        <x:v>OK</x:v>
      </x:c>
      <x:c r="N247" s="20" t="str">
        <x:v>Extra volume &amp; length</x:v>
      </x:c>
    </x:row>
    <x:row r="248" ht="15" hidden="0" customHeight="1">
      <x:c r="A248" s="14" t="str">
        <x:v>SVC-0247</x:v>
      </x:c>
      <x:c r="B248" s="14" t="str">
        <x:v>The Romoosh Lash Bar</x:v>
      </x:c>
      <x:c r="C248" s="14" t="str">
        <x:v>Signature Looks</x:v>
      </x:c>
      <x:c r="D248" s="14" t="str">
        <x:v>Gigi | Cat Eye</x:v>
      </x:c>
      <x:c r="E248" s="14" t="str">
        <x:v>One Time Application</x:v>
      </x:c>
      <x:c r="F248" s="18"/>
      <x:c r="G248" s="17" t="n">
        <x:v>350</x:v>
      </x:c>
      <x:c r="H248" s="14" t="str">
        <x:v>per service</x:v>
      </x:c>
      <x:c r="I248" s="14" t="str">
        <x:v>Exclusive of 5% VAT</x:v>
      </x:c>
      <x:c r="J248" s="19" t="str">
        <x:v>https://bedashingbeauty.com/service/the-romoosh-lash-bar/</x:v>
      </x:c>
      <x:c r="K248" s="14" t="str">
        <x:v>2026-09-03</x:v>
      </x:c>
      <x:c r="L248" s="14" t="str">
        <x:v>Official Bedashing website</x:v>
      </x:c>
      <x:c r="M248" s="14" t="str">
        <x:v>OK</x:v>
      </x:c>
      <x:c r="N248" s="20" t="str">
        <x:v>Fuller outer corners</x:v>
      </x:c>
    </x:row>
    <x:row r="249" ht="15" hidden="0" customHeight="1">
      <x:c r="A249" s="14" t="str">
        <x:v>SVC-0248</x:v>
      </x:c>
      <x:c r="B249" s="14" t="str">
        <x:v>The Romoosh Lash Bar</x:v>
      </x:c>
      <x:c r="C249" s="14" t="str">
        <x:v>Signature Looks</x:v>
      </x:c>
      <x:c r="D249" s="14" t="str">
        <x:v>Gigi | Cat Eye</x:v>
      </x:c>
      <x:c r="E249" s="14" t="str">
        <x:v>Package with Free Refill</x:v>
      </x:c>
      <x:c r="F249" s="18"/>
      <x:c r="G249" s="17" t="n">
        <x:v>500</x:v>
      </x:c>
      <x:c r="H249" s="14" t="str">
        <x:v>per service</x:v>
      </x:c>
      <x:c r="I249" s="14" t="str">
        <x:v>Exclusive of 5% VAT</x:v>
      </x:c>
      <x:c r="J249" s="19" t="str">
        <x:v>https://bedashingbeauty.com/service/the-romoosh-lash-bar/</x:v>
      </x:c>
      <x:c r="K249" s="14" t="str">
        <x:v>2026-09-03</x:v>
      </x:c>
      <x:c r="L249" s="14" t="str">
        <x:v>Official Bedashing website</x:v>
      </x:c>
      <x:c r="M249" s="14" t="str">
        <x:v>OK</x:v>
      </x:c>
      <x:c r="N249" s="20" t="str">
        <x:v>Fuller outer corners</x:v>
      </x:c>
    </x:row>
    <x:row r="250" ht="15" hidden="0" customHeight="1">
      <x:c r="A250" s="14" t="str">
        <x:v>SVC-0249</x:v>
      </x:c>
      <x:c r="B250" s="14" t="str">
        <x:v>The Romoosh Lash Bar</x:v>
      </x:c>
      <x:c r="C250" s="14" t="str">
        <x:v>Signature Looks</x:v>
      </x:c>
      <x:c r="D250" s="14" t="str">
        <x:v>Bella | Doll Eye</x:v>
      </x:c>
      <x:c r="E250" s="14" t="str">
        <x:v>One Time Application</x:v>
      </x:c>
      <x:c r="F250" s="18"/>
      <x:c r="G250" s="17" t="n">
        <x:v>350</x:v>
      </x:c>
      <x:c r="H250" s="14" t="str">
        <x:v>per service</x:v>
      </x:c>
      <x:c r="I250" s="14" t="str">
        <x:v>Exclusive of 5% VAT</x:v>
      </x:c>
      <x:c r="J250" s="19" t="str">
        <x:v>https://bedashingbeauty.com/service/the-romoosh-lash-bar/</x:v>
      </x:c>
      <x:c r="K250" s="14" t="str">
        <x:v>2026-09-03</x:v>
      </x:c>
      <x:c r="L250" s="14" t="str">
        <x:v>Official Bedashing website</x:v>
      </x:c>
      <x:c r="M250" s="14" t="str">
        <x:v>OK</x:v>
      </x:c>
      <x:c r="N250" s="20" t="str">
        <x:v>Fuller middle, dramatic</x:v>
      </x:c>
    </x:row>
    <x:row r="251" ht="15" hidden="0" customHeight="1">
      <x:c r="A251" s="14" t="str">
        <x:v>SVC-0250</x:v>
      </x:c>
      <x:c r="B251" s="14" t="str">
        <x:v>The Romoosh Lash Bar</x:v>
      </x:c>
      <x:c r="C251" s="14" t="str">
        <x:v>Signature Looks</x:v>
      </x:c>
      <x:c r="D251" s="14" t="str">
        <x:v>Bella | Doll Eye</x:v>
      </x:c>
      <x:c r="E251" s="14" t="str">
        <x:v>Package with Free Refill</x:v>
      </x:c>
      <x:c r="F251" s="18"/>
      <x:c r="G251" s="17" t="n">
        <x:v>500</x:v>
      </x:c>
      <x:c r="H251" s="14" t="str">
        <x:v>per service</x:v>
      </x:c>
      <x:c r="I251" s="14" t="str">
        <x:v>Exclusive of 5% VAT</x:v>
      </x:c>
      <x:c r="J251" s="19" t="str">
        <x:v>https://bedashingbeauty.com/service/the-romoosh-lash-bar/</x:v>
      </x:c>
      <x:c r="K251" s="14" t="str">
        <x:v>2026-09-03</x:v>
      </x:c>
      <x:c r="L251" s="14" t="str">
        <x:v>Official Bedashing website</x:v>
      </x:c>
      <x:c r="M251" s="14" t="str">
        <x:v>OK</x:v>
      </x:c>
      <x:c r="N251" s="20" t="str">
        <x:v>Fuller middle, dramatic</x:v>
      </x:c>
    </x:row>
  </x:sheetData>
  <x:pageMargins left="0.7" right="0.7" top="0.75" bottom="0.75" header="0.3" footer="0.3"/>
  <x:tableParts count="1">
    <x:tablePart xmlns:r="http://schemas.openxmlformats.org/officeDocument/2006/relationships" r:id="R376650ff520046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>
      <x:c r="A1" s="21" t="str">
        <x:v>Official Price Catalogue Summary</x:v>
      </x:c>
      <x:c r="B1" s="21"/>
      <x:c r="C1" s="21"/>
      <x:c r="D1" s="21"/>
      <x:c r="E1" s="21"/>
      <x:c r="F1" s="21"/>
    </x:row>
    <x:row r="2">
      <x:c r="A2" s="21"/>
      <x:c r="B2" s="21"/>
      <x:c r="C2" s="21"/>
      <x:c r="D2" s="21"/>
      <x:c r="E2" s="21"/>
      <x:c r="F2" s="21"/>
    </x:row>
    <x:row r="3"/>
    <x:row r="4" ht="15" hidden="0" customHeight="1">
      <x:c r="A4" s="8" t="str">
        <x:v>Category</x:v>
      </x:c>
      <x:c r="B4" s="8" t="str">
        <x:v>Variants</x:v>
      </x:c>
      <x:c r="C4" s="8" t="str">
        <x:v>Average Price</x:v>
      </x:c>
      <x:c r="D4" s="8" t="str">
        <x:v>Minimum Price</x:v>
      </x:c>
      <x:c r="E4" s="8" t="str">
        <x:v>Maximum Price</x:v>
      </x:c>
    </x:row>
    <x:row r="5" ht="15" hidden="0" customHeight="1">
      <x:c r="A5" t="str">
        <x:v>Hair</x:v>
      </x:c>
      <x:c r="B5" t="n">
        <x:f>COUNTIF('Official Services'!$B$2:$B$251,A5)</x:f>
        <x:v>150</x:v>
      </x:c>
      <x:c r="C5" s="24" t="n">
        <x:f>AVERAGEIF('Official Services'!$B$2:$B$251,A5,'Official Services'!$G$2:$G$251)</x:f>
        <x:v>413.40166666666664</x:v>
      </x:c>
      <x:c r="D5" s="24" t="n">
        <x:f>MINIFS('Official Services'!$G$2:$G$251,'Official Services'!$B$2:$B$251,A5)</x:f>
        <x:v>15.75</x:v>
      </x:c>
      <x:c r="E5" s="24" t="n">
        <x:f>MAXIFS('Official Services'!$G$2:$G$251,'Official Services'!$B$2:$B$251,A5)</x:f>
        <x:v>2100</x:v>
      </x:c>
    </x:row>
    <x:row r="6" ht="15" hidden="0" customHeight="1">
      <x:c r="A6" t="str">
        <x:v>Nails</x:v>
      </x:c>
      <x:c r="B6" t="n">
        <x:f>COUNTIF('Official Services'!$B$2:$B$251,A6)</x:f>
        <x:v>49</x:v>
      </x:c>
      <x:c r="C6" s="24" t="n">
        <x:f>AVERAGEIF('Official Services'!$B$2:$B$251,A6,'Official Services'!$G$2:$G$251)</x:f>
        <x:v>145.26020408163265</x:v>
      </x:c>
      <x:c r="D6" s="24" t="n">
        <x:f>MINIFS('Official Services'!$G$2:$G$251,'Official Services'!$B$2:$B$251,A6)</x:f>
        <x:v>10.5</x:v>
      </x:c>
      <x:c r="E6" s="24" t="n">
        <x:f>MAXIFS('Official Services'!$G$2:$G$251,'Official Services'!$B$2:$B$251,A6)</x:f>
        <x:v>389</x:v>
      </x:c>
    </x:row>
    <x:row r="7" ht="15" hidden="0" customHeight="1">
      <x:c r="A7" t="str">
        <x:v>Face</x:v>
      </x:c>
      <x:c r="B7" t="n">
        <x:f>COUNTIF('Official Services'!$B$2:$B$251,A7)</x:f>
        <x:v>16</x:v>
      </x:c>
      <x:c r="C7" s="24" t="n">
        <x:f>AVERAGEIF('Official Services'!$B$2:$B$251,A7,'Official Services'!$G$2:$G$251)</x:f>
        <x:v>474.75</x:v>
      </x:c>
      <x:c r="D7" s="24" t="n">
        <x:f>MINIFS('Official Services'!$G$2:$G$251,'Official Services'!$B$2:$B$251,A7)</x:f>
        <x:v>60</x:v>
      </x:c>
      <x:c r="E7" s="24" t="n">
        <x:f>MAXIFS('Official Services'!$G$2:$G$251,'Official Services'!$B$2:$B$251,A7)</x:f>
        <x:v>3150</x:v>
      </x:c>
    </x:row>
    <x:row r="8" ht="15" hidden="0" customHeight="1">
      <x:c r="A8" t="str">
        <x:v>Body &amp; Grooming</x:v>
      </x:c>
      <x:c r="B8" t="n">
        <x:f>COUNTIF('Official Services'!$B$2:$B$251,A8)</x:f>
        <x:v>27</x:v>
      </x:c>
      <x:c r="C8" s="24" t="n">
        <x:f>AVERAGEIF('Official Services'!$B$2:$B$251,A8,'Official Services'!$G$2:$G$251)</x:f>
        <x:v>214.22222222222223</x:v>
      </x:c>
      <x:c r="D8" s="24" t="n">
        <x:f>MINIFS('Official Services'!$G$2:$G$251,'Official Services'!$B$2:$B$251,A8)</x:f>
        <x:v>36</x:v>
      </x:c>
      <x:c r="E8" s="24" t="n">
        <x:f>MAXIFS('Official Services'!$G$2:$G$251,'Official Services'!$B$2:$B$251,A8)</x:f>
        <x:v>420</x:v>
      </x:c>
    </x:row>
    <x:row r="9" ht="15" hidden="0" customHeight="1">
      <x:c r="A9" t="str">
        <x:v>The Romoosh Lash Bar</x:v>
      </x:c>
      <x:c r="B9" t="n">
        <x:f>COUNTIF('Official Services'!$B$2:$B$251,A9)</x:f>
        <x:v>8</x:v>
      </x:c>
      <x:c r="C9" s="24" t="n">
        <x:f>AVERAGEIF('Official Services'!$B$2:$B$251,A9,'Official Services'!$G$2:$G$251)</x:f>
        <x:v>425</x:v>
      </x:c>
      <x:c r="D9" s="24" t="n">
        <x:f>MINIFS('Official Services'!$G$2:$G$251,'Official Services'!$B$2:$B$251,A9)</x:f>
        <x:v>350</x:v>
      </x:c>
      <x:c r="E9" s="24" t="n">
        <x:f>MAXIFS('Official Services'!$G$2:$G$251,'Official Services'!$B$2:$B$251,A9)</x:f>
        <x:v>500</x:v>
      </x:c>
    </x:row>
    <x:row r="10" ht="15" hidden="0" customHeight="1">
      <x:c r="A10" s="23" t="str">
        <x:v>Total / all</x:v>
      </x:c>
      <x:c r="B10" s="23" t="n">
        <x:f>SUM(B5:B9)</x:f>
        <x:v>250</x:v>
      </x:c>
      <x:c r="C10" s="25" t="n">
        <x:f>AVERAGE('Official Services'!$G$2:$G$251)</x:f>
        <x:v>343.632</x:v>
      </x:c>
      <x:c r="D10" s="25" t="n">
        <x:f>MIN('Official Services'!$G$2:$G$251)</x:f>
        <x:v>10.5</x:v>
      </x:c>
      <x:c r="E10" s="25" t="n">
        <x:f>MAX('Official Services'!$G$2:$G$251)</x:f>
        <x:v>3150</x:v>
      </x:c>
    </x:row>
    <x:row r="11"/>
    <x:row r="12" ht="15" hidden="0" customHeight="1">
      <x:c r="A12" s="27" t="str">
        <x:v>Interpretation</x:v>
      </x:c>
      <x:c r="B12" s="27"/>
      <x:c r="C12" s="27"/>
      <x:c r="D12" s="27"/>
      <x:c r="E12" s="27"/>
      <x:c r="F12" s="27"/>
    </x:row>
    <x:row r="13" ht="15" hidden="0" customHeight="1">
      <x:c r="A13" s="27" t="str">
        <x:v>The average is across published price variants, not customer transactions. It must not be presented as average ticket.</x:v>
      </x:c>
      <x:c r="B13" s="27"/>
      <x:c r="C13" s="27"/>
      <x:c r="D13" s="27"/>
      <x:c r="E13" s="27"/>
      <x:c r="F13" s="27"/>
    </x:row>
    <x:row r="14" ht="15" hidden="0" customHeight="1">
      <x:c r="A14" s="27" t="str">
        <x:v>Romoosh prices are published exclusive of 5% VAT; the other service pages state inclusive of 5% VAT.</x:v>
      </x:c>
      <x:c r="B14" s="27"/>
      <x:c r="C14" s="27"/>
      <x:c r="D14" s="27"/>
      <x:c r="E14" s="27"/>
      <x:c r="F14" s="27"/>
    </x:row>
    <x:row r="15" ht="15" hidden="0" customHeight="1">
      <x:c r="A15" s="27" t="str">
        <x:v>Three unusual official values are retained and flagged for manual confirmation.</x:v>
      </x:c>
      <x:c r="B15" s="27"/>
      <x:c r="C15" s="27"/>
      <x:c r="D15" s="27"/>
      <x:c r="E15" s="27"/>
      <x:c r="F15" s="27"/>
    </x:row>
  </x:sheetData>
  <x:mergeCells>
    <x:mergeCell ref="A1:F2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9999732971191" hidden="0" customWidth="1"/>
    <x:col min="2" max="2" width="16.559999465942383" hidden="0" customWidth="1"/>
    <x:col min="3" max="3" width="40" hidden="0" customWidth="1"/>
    <x:col min="4" max="4" width="10.4399995803833" hidden="0" customWidth="1"/>
    <x:col min="5" max="5" width="10.4399995803833" hidden="0" customWidth="1"/>
    <x:col min="6" max="6" width="10.329999923706055" hidden="0" customWidth="1"/>
    <x:col min="7" max="7" width="11.5600004196167" hidden="0" customWidth="1"/>
    <x:col min="8" max="8" width="9.5600004196167" hidden="0" customWidth="1"/>
    <x:col min="9" max="9" width="36.11000061035156" hidden="0" customWidth="1"/>
    <x:col min="10" max="10" width="23" hidden="0" customWidth="1"/>
    <x:col min="11" max="11" width="40" hidden="0" customWidth="1"/>
    <x:col min="12" max="12" width="40" hidden="0" customWidth="1"/>
    <x:col min="13" max="13" width="10.329999923706055" hidden="0" customWidth="1"/>
    <x:col min="14" max="14" width="11.5600004196167" hidden="0" customWidth="1"/>
    <x:col min="15" max="15" width="9.329999923706055" hidden="0" customWidth="1"/>
    <x:col min="16" max="16" width="14.109999656677246" hidden="0" customWidth="1"/>
    <x:col min="17" max="17" width="16.110000610351562" hidden="0" customWidth="1"/>
    <x:col min="18" max="18" width="14" hidden="0" customWidth="1"/>
    <x:col min="19" max="19" width="39.66999816894531" hidden="0" customWidth="1"/>
    <x:col min="20" max="20" width="10.890000343322754" hidden="0" customWidth="1"/>
    <x:col min="21" max="21" width="40" hidden="0" customWidth="1"/>
    <x:col min="22" max="22" width="87.22000122070312" hidden="0" customWidth="1"/>
    <x:col min="23" max="23" width="134.44000244140625" hidden="0" customWidth="1"/>
    <x:col min="24" max="24" width="10.5600004196167" hidden="0" customWidth="1"/>
    <x:col min="25" max="25" width="16.110000610351562" hidden="0" customWidth="1"/>
    <x:col min="26" max="26" width="8.779999732971191" hidden="0" customWidth="1"/>
    <x:col min="27" max="27" width="21.219999313354492" hidden="0" customWidth="1"/>
    <x:col min="28" max="28" width="40" hidden="0" customWidth="1"/>
    <x:col min="29" max="29" width="40" hidden="0" customWidth="1"/>
    <x:col min="30" max="30" width="15.670000076293945" hidden="0" customWidth="1"/>
    <x:col min="31" max="31" width="8.329999923706055" hidden="0" customWidth="1"/>
    <x:col min="32" max="32" width="19.670000076293945" hidden="0" customWidth="1"/>
  </x:cols>
  <x:sheetData>
    <x:row r="1" ht="15" hidden="0" customHeight="1">
      <x:c r="A1" s="29" t="str">
        <x:v>official_store_id</x:v>
      </x:c>
      <x:c r="B1" s="29" t="str">
        <x:v>official_branch_name</x:v>
      </x:c>
      <x:c r="C1" s="29" t="str">
        <x:v>official_address</x:v>
      </x:c>
      <x:c r="D1" s="29" t="str">
        <x:v>official_city</x:v>
      </x:c>
      <x:c r="E1" s="29" t="str">
        <x:v>official_state</x:v>
      </x:c>
      <x:c r="F1" s="29" t="str">
        <x:v>official_latitude</x:v>
      </x:c>
      <x:c r="G1" s="29" t="str">
        <x:v>official_longitude</x:v>
      </x:c>
      <x:c r="H1" s="29" t="str">
        <x:v>official_phone</x:v>
      </x:c>
      <x:c r="I1" s="29" t="str">
        <x:v>official_booking_url</x:v>
      </x:c>
      <x:c r="J1" s="29" t="str">
        <x:v>google_place_id</x:v>
      </x:c>
      <x:c r="K1" s="29" t="str">
        <x:v>google_name</x:v>
      </x:c>
      <x:c r="L1" s="29" t="str">
        <x:v>google_address</x:v>
      </x:c>
      <x:c r="M1" s="29" t="str">
        <x:v>google_latitude</x:v>
      </x:c>
      <x:c r="N1" s="29" t="str">
        <x:v>google_longitude</x:v>
      </x:c>
      <x:c r="O1" s="29" t="str">
        <x:v>google_rating</x:v>
      </x:c>
      <x:c r="P1" s="29" t="str">
        <x:v>google_review_count</x:v>
      </x:c>
      <x:c r="Q1" s="29" t="str">
        <x:v>google_business_status</x:v>
      </x:c>
      <x:c r="R1" s="29" t="str">
        <x:v>google_primary_type</x:v>
      </x:c>
      <x:c r="S1" s="29" t="str">
        <x:v>google_types</x:v>
      </x:c>
      <x:c r="T1" s="29" t="str">
        <x:v>google_phone</x:v>
      </x:c>
      <x:c r="U1" s="29" t="str">
        <x:v>google_website</x:v>
      </x:c>
      <x:c r="V1" s="29" t="str">
        <x:v>google_maps_url</x:v>
      </x:c>
      <x:c r="W1" s="29" t="str">
        <x:v>google_opening_hours</x:v>
      </x:c>
      <x:c r="X1" s="29" t="str">
        <x:v>name_similarity</x:v>
      </x:c>
      <x:c r="Y1" s="29" t="str">
        <x:v>coordinate_distance_km</x:v>
      </x:c>
      <x:c r="Z1" s="29" t="str">
        <x:v>match_score</x:v>
      </x:c>
      <x:c r="AA1" s="29" t="str">
        <x:v>google_match_status</x:v>
      </x:c>
      <x:c r="AB1" s="29" t="str">
        <x:v>google_match_note</x:v>
      </x:c>
      <x:c r="AC1" s="29" t="str">
        <x:v>bedashing_source_url</x:v>
      </x:c>
      <x:c r="AD1" s="29" t="str">
        <x:v>google_source</x:v>
      </x:c>
      <x:c r="AE1" s="29" t="str">
        <x:v>retrieved_at</x:v>
      </x:c>
      <x:c r="AF1" s="29" t="str">
        <x:v>derived_avg_open_hours_day</x:v>
      </x:c>
    </x:row>
    <x:row r="2" ht="15" hidden="0" customHeight="1">
      <x:c r="A2" s="30" t="n">
        <x:v>37</x:v>
      </x:c>
      <x:c r="B2" s="30" t="str">
        <x:v>Al Ain</x:v>
      </x:c>
      <x:c r="C2" s="30" t="str">
        <x:v>Villa 14, Hamdan Bin Mohammad St. , Al Markaniyah, Al Ain - Abu Dhabi</x:v>
      </x:c>
      <x:c r="D2" s="30" t="str">
        <x:v>Abu Dhabi</x:v>
      </x:c>
      <x:c r="E2" s="30" t="str">
        <x:v>Abu Dhabi</x:v>
      </x:c>
      <x:c r="F2" s="30" t="n">
        <x:v>24.2412888</x:v>
      </x:c>
      <x:c r="G2" s="30" t="n">
        <x:v>55.7409794</x:v>
      </x:c>
      <x:c r="H2" s="30" t="str">
        <x:v>600 560 037</x:v>
      </x:c>
      <x:c r="I2" s="30" t="str">
        <x:v>https://phorest.com/book/salons/dashingalain</x:v>
      </x:c>
      <x:c r="J2" s="30" t="str">
        <x:v>ChIJaVP-IbGtij4REpj8CjkEfdo</x:v>
      </x:c>
      <x:c r="K2" s="30" t="str">
        <x:v>Bedashing Beauty Lounge Al Ain</x:v>
      </x:c>
      <x:c r="L2" s="30" t="str">
        <x:v>Villa 18 Hamdan Bin Mohammad St - Al Markaniyah - Muaifaa - Abu Dhabi - United Arab Emirates</x:v>
      </x:c>
      <x:c r="M2" s="30" t="n">
        <x:v>24.2266835</x:v>
      </x:c>
      <x:c r="N2" s="30" t="n">
        <x:v>55.6599794</x:v>
      </x:c>
      <x:c r="O2" s="30" t="n">
        <x:v>4.7</x:v>
      </x:c>
      <x:c r="P2" s="30" t="n">
        <x:v>1325</x:v>
      </x:c>
      <x:c r="Q2" s="30" t="str">
        <x:v>OPERATIONAL</x:v>
      </x:c>
      <x:c r="R2" s="30" t="str">
        <x:v>beauty_salon</x:v>
      </x:c>
      <x:c r="S2" s="30" t="str">
        <x:v>beauty_salon, point_of_interest, service, establishment</x:v>
      </x:c>
      <x:c r="T2" s="30" t="str">
        <x:v>+971 600 560037</x:v>
      </x:c>
      <x:c r="U2" s="30" t="str">
        <x:v>http://www.bedashingbeauty.com/</x:v>
      </x:c>
      <x:c r="V2" s="30" t="str">
        <x:v>https://maps.google.com/?cid=15743744515401095186&amp;g_mp=CiVnb29nbGUubWFwcy5wbGFjZXMudjEuUGxhY2VzLkdldFBsYWNlEAIYBCAA</x:v>
      </x:c>
      <x:c r="W2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2" s="30" t="n">
        <x:v>1</x:v>
      </x:c>
      <x:c r="Y2" s="30" t="n">
        <x:v>8.3721</x:v>
      </x:c>
      <x:c r="Z2" s="30" t="n">
        <x:v>0.7</x:v>
      </x:c>
      <x:c r="AA2" s="30" t="str">
        <x:v>MATCHED_KNOWN_PLACE_ID</x:v>
      </x:c>
      <x:c r="AB2" s="30"/>
      <x:c r="AC2" s="30" t="str">
        <x:v>https://bedashingbeauty.com/lounges/</x:v>
      </x:c>
      <x:c r="AD2" s="30" t="str">
        <x:v>Google Places API (New)</x:v>
      </x:c>
      <x:c r="AE2" s="30" t="n">
        <x:v>46267.63576388889</x:v>
      </x:c>
      <x:c r="AF2" s="30" t="n">
        <x:v>10</x:v>
      </x:c>
    </x:row>
    <x:row r="3" ht="15" hidden="0" customHeight="1">
      <x:c r="A3" s="30" t="n">
        <x:v>30</x:v>
      </x:c>
      <x:c r="B3" s="30" t="str">
        <x:v>Al Barsha</x:v>
      </x:c>
      <x:c r="C3" s="30" t="str">
        <x:v>Shop 1,2 - 3 Umm Suqeim St - Al Barsha 2 - Dubai</x:v>
      </x:c>
      <x:c r="D3" s="30" t="str">
        <x:v>Dubai</x:v>
      </x:c>
      <x:c r="E3" s="30" t="str">
        <x:v>Dubai</x:v>
      </x:c>
      <x:c r="F3" s="30" t="n">
        <x:v>25.1136617</x:v>
      </x:c>
      <x:c r="G3" s="30" t="n">
        <x:v>55.2145715</x:v>
      </x:c>
      <x:c r="H3" s="30" t="str">
        <x:v>600560037</x:v>
      </x:c>
      <x:c r="I3" s="30" t="str">
        <x:v>https://phorest.com/book/salons/bedashingalbarsha</x:v>
      </x:c>
      <x:c r="J3" s="30" t="str">
        <x:v>ChIJ692_u5NrXz4RTD99fc17TzU</x:v>
      </x:c>
      <x:c r="K3" s="30" t="str">
        <x:v>Bedashing Beauty Lounge Al Barsha</x:v>
      </x:c>
      <x:c r="L3" s="30" t="str">
        <x:v>Shop 1,2 - 3 Umm Suqeim St - Al Barsha Second - Al Barsha - Dubai - United Arab Emirates</x:v>
      </x:c>
      <x:c r="M3" s="30" t="n">
        <x:v>25.1131451</x:v>
      </x:c>
      <x:c r="N3" s="30" t="n">
        <x:v>55.2156092</x:v>
      </x:c>
      <x:c r="O3" s="30" t="n">
        <x:v>4.6</x:v>
      </x:c>
      <x:c r="P3" s="30" t="n">
        <x:v>742</x:v>
      </x:c>
      <x:c r="Q3" s="30" t="str">
        <x:v>OPERATIONAL</x:v>
      </x:c>
      <x:c r="R3" s="30" t="str">
        <x:v>beauty_salon</x:v>
      </x:c>
      <x:c r="S3" s="30" t="str">
        <x:v>beauty_salon, service, point_of_interest, establishment</x:v>
      </x:c>
      <x:c r="T3" s="30" t="str">
        <x:v>+971 600 560037</x:v>
      </x:c>
      <x:c r="U3" s="30" t="str">
        <x:v>https://www.bedashingbeauty.com/</x:v>
      </x:c>
      <x:c r="V3" s="30" t="str">
        <x:v>https://maps.google.com/?cid=3841425129674194764&amp;g_mp=CiVnb29nbGUubWFwcy5wbGFjZXMudjEuUGxhY2VzLkdldFBsYWNlEAIYBCAA</x:v>
      </x:c>
      <x:c r="W3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3" s="30" t="n">
        <x:v>1</x:v>
      </x:c>
      <x:c r="Y3" s="30" t="n">
        <x:v>0.1192</x:v>
      </x:c>
      <x:c r="Z3" s="30" t="n">
        <x:v>0.9881</x:v>
      </x:c>
      <x:c r="AA3" s="30" t="str">
        <x:v>MATCHED_EXISTING_PLACE_ID</x:v>
      </x:c>
      <x:c r="AB3" s="30"/>
      <x:c r="AC3" s="30" t="str">
        <x:v>https://bedashingbeauty.com/lounges/</x:v>
      </x:c>
      <x:c r="AD3" s="30" t="str">
        <x:v>Google Places API (New)</x:v>
      </x:c>
      <x:c r="AE3" s="30" t="n">
        <x:v>46267.63576388889</x:v>
      </x:c>
      <x:c r="AF3" s="30" t="n">
        <x:v>10</x:v>
      </x:c>
    </x:row>
    <x:row r="4" ht="15" hidden="0" customHeight="1">
      <x:c r="A4" s="30" t="n">
        <x:v>46</x:v>
      </x:c>
      <x:c r="B4" s="30" t="str">
        <x:v>Al Dhafra Branch</x:v>
      </x:c>
      <x:c r="C4" s="30" t="str">
        <x:v>Al Dhafra Walk, Liwa - Tarif Rd - Zayed City - Abu Dhabi</x:v>
      </x:c>
      <x:c r="D4" s="30" t="str">
        <x:v>Abu Dhabi</x:v>
      </x:c>
      <x:c r="E4" s="30" t="str">
        <x:v>Abu Dhabi</x:v>
      </x:c>
      <x:c r="F4" s="30" t="n">
        <x:v>23.628053</x:v>
      </x:c>
      <x:c r="G4" s="30" t="n">
        <x:v>53.714108</x:v>
      </x:c>
      <x:c r="H4" s="30" t="str">
        <x:v>600 560 037</x:v>
      </x:c>
      <x:c r="I4" s="30" t="str">
        <x:v>https://phorest.com/book/salons/bedashingabudhabidhafra</x:v>
      </x:c>
      <x:c r="J4" s="30" t="str">
        <x:v>ChIJNxX7ddBnZz4RvodXaYBSH6Q</x:v>
      </x:c>
      <x:c r="K4" s="30" t="str">
        <x:v>Bedashing Beauty Lounge - Al Dhafra</x:v>
      </x:c>
      <x:c r="L4" s="30" t="str">
        <x:v>Al Dhafra Walk - Liwa - Tarif Rd - Madinat Za'id - Commercial Area - Abu Dhabi - United Arab Emirates</x:v>
      </x:c>
      <x:c r="M4" s="30" t="n">
        <x:v>23.6280524</x:v>
      </x:c>
      <x:c r="N4" s="30" t="n">
        <x:v>53.7141144</x:v>
      </x:c>
      <x:c r="O4" s="30" t="n">
        <x:v>4.5</x:v>
      </x:c>
      <x:c r="P4" s="30" t="n">
        <x:v>358</x:v>
      </x:c>
      <x:c r="Q4" s="30" t="str">
        <x:v>OPERATIONAL</x:v>
      </x:c>
      <x:c r="R4" s="30" t="str">
        <x:v>beauty_salon</x:v>
      </x:c>
      <x:c r="S4" s="30" t="str">
        <x:v>beauty_salon, service, point_of_interest, establishment</x:v>
      </x:c>
      <x:c r="T4" s="30" t="str">
        <x:v>+971 600 560037</x:v>
      </x:c>
      <x:c r="U4" s="30" t="str">
        <x:v>https://www.bedashingbeauty.com/</x:v>
      </x:c>
      <x:c r="V4" s="30" t="str">
        <x:v>https://maps.google.com/?cid=11826261857974847422&amp;g_mp=CiVnb29nbGUubWFwcy5wbGFjZXMudjEuUGxhY2VzLkdldFBsYWNlEAIYBCAA</x:v>
      </x:c>
      <x:c r="W4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4" s="30" t="n">
        <x:v>1</x:v>
      </x:c>
      <x:c r="Y4" s="30" t="n">
        <x:v>0.0007</x:v>
      </x:c>
      <x:c r="Z4" s="30" t="n">
        <x:v>0.9999</x:v>
      </x:c>
      <x:c r="AA4" s="30" t="str">
        <x:v>MATCHED_EXISTING_PLACE_ID</x:v>
      </x:c>
      <x:c r="AB4" s="30"/>
      <x:c r="AC4" s="30" t="str">
        <x:v>https://bedashingbeauty.com/lounges/</x:v>
      </x:c>
      <x:c r="AD4" s="30" t="str">
        <x:v>Google Places API (New)</x:v>
      </x:c>
      <x:c r="AE4" s="30" t="n">
        <x:v>46267.63576388889</x:v>
      </x:c>
      <x:c r="AF4" s="30" t="n">
        <x:v>10</x:v>
      </x:c>
    </x:row>
    <x:row r="5" ht="15" hidden="0" customHeight="1">
      <x:c r="A5" s="30" t="n">
        <x:v>39</x:v>
      </x:c>
      <x:c r="B5" s="30" t="str">
        <x:v>Al Falah</x:v>
      </x:c>
      <x:c r="C5" s="30" t="str">
        <x:v>Al Falah Village 4, 1D Branch, Abu Dhabi</x:v>
      </x:c>
      <x:c r="D5" s="30" t="str">
        <x:v>Abu Dhabi</x:v>
      </x:c>
      <x:c r="E5" s="30" t="str">
        <x:v>Abu Dhabi</x:v>
      </x:c>
      <x:c r="F5" s="30" t="n">
        <x:v>24.4583082</x:v>
      </x:c>
      <x:c r="G5" s="30" t="n">
        <x:v>54.73979970000001</x:v>
      </x:c>
      <x:c r="H5" s="30" t="str">
        <x:v>600 560 037</x:v>
      </x:c>
      <x:c r="I5" s="30" t="str">
        <x:v>https://phorest.com/book/salons/dashingalfalah</x:v>
      </x:c>
      <x:c r="J5" s="30" t="str">
        <x:v>ChIJhST-PqhLXj4R4Ns1HCNIcjA</x:v>
      </x:c>
      <x:c r="K5" s="30" t="str">
        <x:v>Bedashing Beauty Lounge Al Falah</x:v>
      </x:c>
      <x:c r="L5" s="30" t="str">
        <x:v>Abu Dhabi - Al Falah - 1D - Abu Dhabi - United Arab Emirates</x:v>
      </x:c>
      <x:c r="M5" s="30" t="n">
        <x:v>24.4428939</x:v>
      </x:c>
      <x:c r="N5" s="30" t="n">
        <x:v>54.7396974</x:v>
      </x:c>
      <x:c r="O5" s="30" t="n">
        <x:v>4.6</x:v>
      </x:c>
      <x:c r="P5" s="30" t="n">
        <x:v>948</x:v>
      </x:c>
      <x:c r="Q5" s="30" t="str">
        <x:v>OPERATIONAL</x:v>
      </x:c>
      <x:c r="R5" s="30" t="str">
        <x:v>beauty_salon</x:v>
      </x:c>
      <x:c r="S5" s="30" t="str">
        <x:v>beauty_salon, point_of_interest, service, establishment</x:v>
      </x:c>
      <x:c r="T5" s="30" t="str">
        <x:v>+971 600 560037</x:v>
      </x:c>
      <x:c r="U5" s="30" t="str">
        <x:v>http://www.bedashingbeauty.com/</x:v>
      </x:c>
      <x:c r="V5" s="30" t="str">
        <x:v>https://maps.google.com/?cid=3490931976799902688&amp;g_mp=Cidnb29nbGUubWFwcy5wbGFjZXMudjEuUGxhY2VzLlNlYXJjaFRleHQQAhgEIAA</x:v>
      </x:c>
      <x:c r="W5" s="30" t="str">
        <x:v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x:v>
      </x:c>
      <x:c r="X5" s="30" t="n">
        <x:v>1</x:v>
      </x:c>
      <x:c r="Y5" s="30" t="n">
        <x:v>1.714</x:v>
      </x:c>
      <x:c r="Z5" s="30" t="n">
        <x:v>0.8286</x:v>
      </x:c>
      <x:c r="AA5" s="30" t="str">
        <x:v>MATCHED_NEW_SEARCH</x:v>
      </x:c>
      <x:c r="AB5" s="30"/>
      <x:c r="AC5" s="30" t="str">
        <x:v>https://bedashingbeauty.com/lounges/</x:v>
      </x:c>
      <x:c r="AD5" s="30" t="str">
        <x:v>Google Places API (New)</x:v>
      </x:c>
      <x:c r="AE5" s="30" t="n">
        <x:v>46267.63576388889</x:v>
      </x:c>
      <x:c r="AF5" s="30" t="n">
        <x:v>11</x:v>
      </x:c>
    </x:row>
    <x:row r="6" ht="15" hidden="0" customHeight="1">
      <x:c r="A6" s="30" t="n">
        <x:v>50</x:v>
      </x:c>
      <x:c r="B6" s="30" t="str">
        <x:v>Al Jada</x:v>
      </x:c>
      <x:c r="C6" s="30" t="str">
        <x:v>Shop No. M-18, Misk 2, Muwaileh Trading, Sharjah</x:v>
      </x:c>
      <x:c r="D6" s="30" t="str">
        <x:v>Sharjah</x:v>
      </x:c>
      <x:c r="E6" s="30" t="str">
        <x:v>Sharjah</x:v>
      </x:c>
      <x:c r="F6" s="30" t="n">
        <x:v>25.3192517</x:v>
      </x:c>
      <x:c r="G6" s="30" t="n">
        <x:v>55.4795822</x:v>
      </x:c>
      <x:c r="H6" s="30" t="str">
        <x:v>600 560 037</x:v>
      </x:c>
      <x:c r="I6" s="30" t="str">
        <x:v>https://phorest.com/book/salons/bedashingaljada</x:v>
      </x:c>
      <x:c r="J6" s="30" t="str">
        <x:v>ChIJYcoAMNNfXz4RhygkXYRIdZk</x:v>
      </x:c>
      <x:c r="K6" s="30" t="str">
        <x:v>Bedashing Beauty Lounge Al Jada</x:v>
      </x:c>
      <x:c r="L6" s="30" t="str">
        <x:v>Misk 2 Muwaileh Trading - Shop No. M-18 - Muwaileh Commercial - Sharjah - United Arab Emirates</x:v>
      </x:c>
      <x:c r="M6" s="30" t="n">
        <x:v>25.3192096</x:v>
      </x:c>
      <x:c r="N6" s="30" t="n">
        <x:v>55.4799114</x:v>
      </x:c>
      <x:c r="O6" s="30" t="n">
        <x:v>4.5</x:v>
      </x:c>
      <x:c r="P6" s="30" t="n">
        <x:v>613</x:v>
      </x:c>
      <x:c r="Q6" s="30" t="str">
        <x:v>OPERATIONAL</x:v>
      </x:c>
      <x:c r="R6" s="30" t="str">
        <x:v>beauty_salon</x:v>
      </x:c>
      <x:c r="S6" s="30" t="str">
        <x:v>beauty_salon, service, point_of_interest, establishment</x:v>
      </x:c>
      <x:c r="T6" s="30" t="str">
        <x:v>+971 600 560037</x:v>
      </x:c>
      <x:c r="U6" s="30" t="str">
        <x:v>http://www.bedashingbeauty.com/</x:v>
      </x:c>
      <x:c r="V6" s="30" t="str">
        <x:v>https://maps.google.com/?cid=11057824193413654663&amp;g_mp=CiVnb29nbGUubWFwcy5wbGFjZXMudjEuUGxhY2VzLkdldFBsYWNlEAIYBCAA</x:v>
      </x:c>
      <x:c r="W6" s="30" t="str">
        <x:v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x:v>
      </x:c>
      <x:c r="X6" s="30" t="n">
        <x:v>1</x:v>
      </x:c>
      <x:c r="Y6" s="30" t="n">
        <x:v>0.0334</x:v>
      </x:c>
      <x:c r="Z6" s="30" t="n">
        <x:v>0.9967</x:v>
      </x:c>
      <x:c r="AA6" s="30" t="str">
        <x:v>MATCHED_EXISTING_PLACE_ID</x:v>
      </x:c>
      <x:c r="AB6" s="30"/>
      <x:c r="AC6" s="30" t="str">
        <x:v>https://bedashingbeauty.com/lounges/</x:v>
      </x:c>
      <x:c r="AD6" s="30" t="str">
        <x:v>Google Places API (New)</x:v>
      </x:c>
      <x:c r="AE6" s="30" t="n">
        <x:v>46267.63576388889</x:v>
      </x:c>
      <x:c r="AF6" s="30" t="n">
        <x:v>11</x:v>
      </x:c>
    </x:row>
    <x:row r="7" ht="15" hidden="0" customHeight="1">
      <x:c r="A7" s="30" t="n">
        <x:v>45</x:v>
      </x:c>
      <x:c r="B7" s="30" t="str">
        <x:v>Al Maqta</x:v>
      </x:c>
      <x:c r="C7" s="30" t="str">
        <x:v>Opposite Fairmont Bab Al Bahr - Villa number: 31 - 2 Al Khor St - Al Maqta' - Abu Dhabi</x:v>
      </x:c>
      <x:c r="D7" s="30" t="str">
        <x:v>Abu Dhabi</x:v>
      </x:c>
      <x:c r="E7" s="30" t="str">
        <x:v>Abu Dhabi</x:v>
      </x:c>
      <x:c r="F7" s="30" t="n">
        <x:v>24.4151334</x:v>
      </x:c>
      <x:c r="G7" s="30" t="n">
        <x:v>54.4903463</x:v>
      </x:c>
      <x:c r="H7" s="30" t="str">
        <x:v>600 560 037</x:v>
      </x:c>
      <x:c r="I7" s="30" t="str">
        <x:v>https://phorest.com/book/salons/bedashingabudhabialmaqta</x:v>
      </x:c>
      <x:c r="J7" s="30" t="str">
        <x:v>ChIJIcgTO9ZDXj4RbWXJ_yrpjuM</x:v>
      </x:c>
      <x:c r="K7" s="30" t="str">
        <x:v>Bedashing Beauty Lounge Al Maqta</x:v>
      </x:c>
      <x:c r="L7" s="30" t="str">
        <x:v>Villa number: 31 - opposite Fairmont Bab Al Bahr - 2 شارع حمد محمد ثاني الرميثي - ربدان - ربدان 2 - أبو ظبي - United Arab Emirates</x:v>
      </x:c>
      <x:c r="M7" s="30" t="n">
        <x:v>24.4130516</x:v>
      </x:c>
      <x:c r="N7" s="30" t="n">
        <x:v>54.4929556</x:v>
      </x:c>
      <x:c r="O7" s="30" t="n">
        <x:v>4.6</x:v>
      </x:c>
      <x:c r="P7" s="30" t="n">
        <x:v>1288</x:v>
      </x:c>
      <x:c r="Q7" s="30" t="str">
        <x:v>OPERATIONAL</x:v>
      </x:c>
      <x:c r="R7" s="30" t="str">
        <x:v>beauty_salon</x:v>
      </x:c>
      <x:c r="S7" s="30" t="str">
        <x:v>beauty_salon, point_of_interest, service, establishment</x:v>
      </x:c>
      <x:c r="T7" s="30" t="str">
        <x:v>+971 600 560037</x:v>
      </x:c>
      <x:c r="U7" s="30" t="str">
        <x:v>https://www.bedashingbeauty.com/</x:v>
      </x:c>
      <x:c r="V7" s="30" t="str">
        <x:v>https://maps.google.com/?cid=16397299664191841645&amp;g_mp=CiVnb29nbGUubWFwcy5wbGFjZXMudjEuUGxhY2VzLkdldFBsYWNlEAIYBCAA</x:v>
      </x:c>
      <x:c r="W7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7" s="30" t="n">
        <x:v>1</x:v>
      </x:c>
      <x:c r="Y7" s="30" t="n">
        <x:v>0.3513</x:v>
      </x:c>
      <x:c r="Z7" s="30" t="n">
        <x:v>0.9649</x:v>
      </x:c>
      <x:c r="AA7" s="30" t="str">
        <x:v>MATCHED_EXISTING_PLACE_ID</x:v>
      </x:c>
      <x:c r="AB7" s="30"/>
      <x:c r="AC7" s="30" t="str">
        <x:v>https://bedashingbeauty.com/lounges/</x:v>
      </x:c>
      <x:c r="AD7" s="30" t="str">
        <x:v>Google Places API (New)</x:v>
      </x:c>
      <x:c r="AE7" s="30" t="n">
        <x:v>46267.63576388889</x:v>
      </x:c>
      <x:c r="AF7" s="30" t="n">
        <x:v>10</x:v>
      </x:c>
    </x:row>
    <x:row r="8" ht="15" hidden="0" customHeight="1">
      <x:c r="A8" s="30" t="n">
        <x:v>51</x:v>
      </x:c>
      <x:c r="B8" s="30" t="str">
        <x:v>Al Taif Mall</x:v>
      </x:c>
      <x:c r="C8" s="30" t="str">
        <x:v>Shop: G/F 13, Al Taif Mall, Al Taif Mall, Fujairah.</x:v>
      </x:c>
      <x:c r="D8" s="30" t="str">
        <x:v>Fujairah</x:v>
      </x:c>
      <x:c r="E8" s="30" t="str">
        <x:v>Fujairah</x:v>
      </x:c>
      <x:c r="F8" s="30" t="n">
        <x:v>25.1203258</x:v>
      </x:c>
      <x:c r="G8" s="30" t="n">
        <x:v>56.32583349999999</x:v>
      </x:c>
      <x:c r="H8" s="30" t="str">
        <x:v>600 560 037</x:v>
      </x:c>
      <x:c r="I8" s="30" t="str">
        <x:v>https://phorest.com/book/salons/bedashingaltaiffujairah</x:v>
      </x:c>
      <x:c r="J8" s="30" t="str">
        <x:v>ChIJ0ePl4Sz59D4RPDea70PHVSs</x:v>
      </x:c>
      <x:c r="K8" s="30" t="str">
        <x:v>Bedashing Beauty Lounge Al Taif Mall</x:v>
      </x:c>
      <x:c r="L8" s="30" t="str">
        <x:v>Bedashing Beauty Lounge – Taif Mall Fujairah Al Taif Mall Shop: G/F 13 - مركز مدينة الفجيرة - إمارة الفجيرة - United Arab Emirates</x:v>
      </x:c>
      <x:c r="M8" s="30" t="n">
        <x:v>25.1202606</x:v>
      </x:c>
      <x:c r="N8" s="30" t="n">
        <x:v>56.3253503</x:v>
      </x:c>
      <x:c r="O8" s="30" t="n">
        <x:v>4.7</x:v>
      </x:c>
      <x:c r="P8" s="30" t="n">
        <x:v>495</x:v>
      </x:c>
      <x:c r="Q8" s="30" t="str">
        <x:v>OPERATIONAL</x:v>
      </x:c>
      <x:c r="R8" s="30" t="str">
        <x:v>beauty_salon</x:v>
      </x:c>
      <x:c r="S8" s="30" t="str">
        <x:v>beauty_salon, service, point_of_interest, establishment</x:v>
      </x:c>
      <x:c r="T8" s="30" t="str">
        <x:v>+971 600 560037</x:v>
      </x:c>
      <x:c r="U8" s="30" t="str">
        <x:v>http://www.bedashingbeauty.com/</x:v>
      </x:c>
      <x:c r="V8" s="30" t="str">
        <x:v>https://maps.google.com/?cid=3122621011247904572&amp;g_mp=CiVnb29nbGUubWFwcy5wbGFjZXMudjEuUGxhY2VzLkdldFBsYWNlEAIYBCAA</x:v>
      </x:c>
      <x:c r="W8" s="30" t="str">
        <x:v>Monday: 12:00 – 9:00 PM | Tuesday: 12:00 – 9:00 PM | Wednesday: 12:00 – 9:00 PM | Thursday: 12:00 – 9:00 PM | Friday: 12:00 – 9:00 PM | Saturday: 12:00 – 9:00 PM | Sunday: 12:00 – 9:00 PM</x:v>
      </x:c>
      <x:c r="X8" s="30" t="n">
        <x:v>1</x:v>
      </x:c>
      <x:c r="Y8" s="30" t="n">
        <x:v>0.0492</x:v>
      </x:c>
      <x:c r="Z8" s="30" t="n">
        <x:v>0.9951</x:v>
      </x:c>
      <x:c r="AA8" s="30" t="str">
        <x:v>MATCHED_EXISTING_PLACE_ID</x:v>
      </x:c>
      <x:c r="AB8" s="30"/>
      <x:c r="AC8" s="30" t="str">
        <x:v>https://bedashingbeauty.com/lounges/</x:v>
      </x:c>
      <x:c r="AD8" s="30" t="str">
        <x:v>Google Places API (New)</x:v>
      </x:c>
      <x:c r="AE8" s="30" t="n">
        <x:v>46267.63576388889</x:v>
      </x:c>
      <x:c r="AF8" s="30" t="n">
        <x:v>9</x:v>
      </x:c>
    </x:row>
    <x:row r="9" ht="15" hidden="0" customHeight="1">
      <x:c r="A9" s="30" t="n">
        <x:v>36</x:v>
      </x:c>
      <x:c r="B9" s="30" t="str">
        <x:v>Baniyas</x:v>
      </x:c>
      <x:c r="C9" s="30" t="str">
        <x:v>Villa D, Baniyas East 8, Opposite to Lulu Hypermarket, Abu Dhabi.</x:v>
      </x:c>
      <x:c r="D9" s="30" t="str">
        <x:v>Abu Dhabi</x:v>
      </x:c>
      <x:c r="E9" s="30" t="str">
        <x:v>Abu Dhabi</x:v>
      </x:c>
      <x:c r="F9" s="30" t="n">
        <x:v>24.3063204</x:v>
      </x:c>
      <x:c r="G9" s="30" t="n">
        <x:v>54.6109348</x:v>
      </x:c>
      <x:c r="H9" s="30" t="str">
        <x:v>600 560 037</x:v>
      </x:c>
      <x:c r="I9" s="30" t="str">
        <x:v>https://phorest.com/book/salons/dashingwestyas</x:v>
      </x:c>
      <x:c r="J9" s="30" t="str">
        <x:v>ChIJ5ch6Hag3Xj4RlU_4s1p7o8s</x:v>
      </x:c>
      <x:c r="K9" s="30" t="str">
        <x:v>Bedashing Beauty Lounge Baniyas</x:v>
      </x:c>
      <x:c r="L9" s="30" t="str">
        <x:v>Villa 4 Number 22 - Al Suqa Street - Bani Yas - Baniyas East - Abu Dhabi - United Arab Emirates</x:v>
      </x:c>
      <x:c r="M9" s="30" t="n">
        <x:v>24.2973631</x:v>
      </x:c>
      <x:c r="N9" s="30" t="n">
        <x:v>54.6332474</x:v>
      </x:c>
      <x:c r="O9" s="30" t="n">
        <x:v>4.6</x:v>
      </x:c>
      <x:c r="P9" s="30" t="n">
        <x:v>693</x:v>
      </x:c>
      <x:c r="Q9" s="30" t="str">
        <x:v>OPERATIONAL</x:v>
      </x:c>
      <x:c r="R9" s="30" t="str">
        <x:v>beauty_salon</x:v>
      </x:c>
      <x:c r="S9" s="30" t="str">
        <x:v>beauty_salon, point_of_interest, service, establishment</x:v>
      </x:c>
      <x:c r="T9" s="30" t="str">
        <x:v>+971 600 560037</x:v>
      </x:c>
      <x:c r="U9" s="30" t="str">
        <x:v>http://www.bedashingbeauty.com/</x:v>
      </x:c>
      <x:c r="V9" s="30" t="str">
        <x:v>https://maps.google.com/?cid=14673707640399875989&amp;g_mp=Cidnb29nbGUubWFwcy5wbGFjZXMudjEuUGxhY2VzLlNlYXJjaFRleHQQAhgEIAA</x:v>
      </x:c>
      <x:c r="W9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9" s="30" t="n">
        <x:v>1</x:v>
      </x:c>
      <x:c r="Y9" s="30" t="n">
        <x:v>2.4708</x:v>
      </x:c>
      <x:c r="Z9" s="30" t="n">
        <x:v>0.7529</x:v>
      </x:c>
      <x:c r="AA9" s="30" t="str">
        <x:v>MATCHED_NEW_SEARCH</x:v>
      </x:c>
      <x:c r="AB9" s="30"/>
      <x:c r="AC9" s="30" t="str">
        <x:v>https://bedashingbeauty.com/lounges/</x:v>
      </x:c>
      <x:c r="AD9" s="30" t="str">
        <x:v>Google Places API (New)</x:v>
      </x:c>
      <x:c r="AE9" s="30" t="n">
        <x:v>46267.63576388889</x:v>
      </x:c>
      <x:c r="AF9" s="30" t="n">
        <x:v>10</x:v>
      </x:c>
    </x:row>
    <x:row r="10" ht="15" hidden="0" customHeight="1">
      <x:c r="A10" s="30" t="n">
        <x:v>28</x:v>
      </x:c>
      <x:c r="B10" s="30" t="str">
        <x:v>City Walk</x:v>
      </x:c>
      <x:c r="C10" s="30" t="str">
        <x:v>18A-06 Al Raha Street, City Walk</x:v>
      </x:c>
      <x:c r="D10" s="30" t="str">
        <x:v>Dubai</x:v>
      </x:c>
      <x:c r="E10" s="30"/>
      <x:c r="F10" s="30" t="n">
        <x:v>25.201991012471893</x:v>
      </x:c>
      <x:c r="G10" s="30" t="n">
        <x:v>55.26383744697417</x:v>
      </x:c>
      <x:c r="H10" s="30" t="str">
        <x:v>600560037</x:v>
      </x:c>
      <x:c r="I10" s="30" t="str">
        <x:v>https://phorest.com/book/salons/bedashingnailscitywalk2</x:v>
      </x:c>
      <x:c r="J10" s="30" t="str">
        <x:v>ChIJgarf82RCXz4Rk5W7_Oh9ZCM</x:v>
      </x:c>
      <x:c r="K10" s="30" t="str">
        <x:v>Bedashing Beauty Lounge City Walk</x:v>
      </x:c>
      <x:c r="L10" s="30" t="str">
        <x:v>City Walk Dubai - Dubai - الوصل - دبي - United Arab Emirates</x:v>
      </x:c>
      <x:c r="M10" s="30" t="n">
        <x:v>25.2019849</x:v>
      </x:c>
      <x:c r="N10" s="30" t="n">
        <x:v>55.2638147</x:v>
      </x:c>
      <x:c r="O10" s="30" t="n">
        <x:v>4.6</x:v>
      </x:c>
      <x:c r="P10" s="30" t="n">
        <x:v>855</x:v>
      </x:c>
      <x:c r="Q10" s="30" t="str">
        <x:v>OPERATIONAL</x:v>
      </x:c>
      <x:c r="R10" s="30" t="str">
        <x:v>beauty_salon</x:v>
      </x:c>
      <x:c r="S10" s="30" t="str">
        <x:v>beauty_salon, service, point_of_interest, establishment</x:v>
      </x:c>
      <x:c r="T10" s="30" t="str">
        <x:v>+971 600 560037</x:v>
      </x:c>
      <x:c r="U10" s="30" t="str">
        <x:v>http://www.bedashingbeauty.com/</x:v>
      </x:c>
      <x:c r="V10" s="30" t="str">
        <x:v>https://maps.google.com/?cid=2550301728624579987&amp;g_mp=CiVnb29nbGUubWFwcy5wbGFjZXMudjEuUGxhY2VzLkdldFBsYWNlEAIYBCAA</x:v>
      </x:c>
      <x:c r="W10" s="30" t="str">
        <x:v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x:v>
      </x:c>
      <x:c r="X10" s="30" t="n">
        <x:v>1</x:v>
      </x:c>
      <x:c r="Y10" s="30" t="n">
        <x:v>0.0024</x:v>
      </x:c>
      <x:c r="Z10" s="30" t="n">
        <x:v>0.9998</x:v>
      </x:c>
      <x:c r="AA10" s="30" t="str">
        <x:v>MATCHED_EXISTING_PLACE_ID</x:v>
      </x:c>
      <x:c r="AB10" s="30"/>
      <x:c r="AC10" s="30" t="str">
        <x:v>https://bedashingbeauty.com/lounges/</x:v>
      </x:c>
      <x:c r="AD10" s="30" t="str">
        <x:v>Google Places API (New)</x:v>
      </x:c>
      <x:c r="AE10" s="30" t="n">
        <x:v>46267.63576388889</x:v>
      </x:c>
      <x:c r="AF10" s="30" t="n">
        <x:v>11</x:v>
      </x:c>
    </x:row>
    <x:row r="11" ht="15" hidden="0" customHeight="1">
      <x:c r="A11" s="30" t="n">
        <x:v>38</x:v>
      </x:c>
      <x:c r="B11" s="30" t="str">
        <x:v>Delma</x:v>
      </x:c>
      <x:c r="C11" s="30" t="str">
        <x:v>Shop 1 &amp; 2 Kim Tower, Delma St (Al Nahayan Area), Abu Dhabi, UAE</x:v>
      </x:c>
      <x:c r="D11" s="30" t="str">
        <x:v>Abu Dhabi</x:v>
      </x:c>
      <x:c r="E11" s="30" t="str">
        <x:v>Abu Dhabi</x:v>
      </x:c>
      <x:c r="F11" s="30" t="n">
        <x:v>24.4724285</x:v>
      </x:c>
      <x:c r="G11" s="30" t="n">
        <x:v>54.3924925</x:v>
      </x:c>
      <x:c r="H11" s="30" t="str">
        <x:v>600 560 037</x:v>
      </x:c>
      <x:c r="I11" s="30" t="str">
        <x:v>https://phorest.com/book/salons/dashingdelma</x:v>
      </x:c>
      <x:c r="J11" s="30" t="str">
        <x:v>ChIJ_Vu7UilmXj4R0AsGTzHwkaU</x:v>
      </x:c>
      <x:c r="K11" s="30" t="str">
        <x:v>Bedashing Beauty Lounge Delma</x:v>
      </x:c>
      <x:c r="L11" s="30" t="str">
        <x:v>Shop 1 &amp; 2, Kim Tower - Delma Street - behind Trans Ad Building - Al Nahyan Area - E25 - Abu Dhabi - United Arab Emirates</x:v>
      </x:c>
      <x:c r="M11" s="30" t="n">
        <x:v>24.467954</x:v>
      </x:c>
      <x:c r="N11" s="30" t="n">
        <x:v>54.3847796</x:v>
      </x:c>
      <x:c r="O11" s="30" t="n">
        <x:v>4.6</x:v>
      </x:c>
      <x:c r="P11" s="30" t="n">
        <x:v>671</x:v>
      </x:c>
      <x:c r="Q11" s="30" t="str">
        <x:v>OPERATIONAL</x:v>
      </x:c>
      <x:c r="R11" s="30" t="str">
        <x:v>beauty_salon</x:v>
      </x:c>
      <x:c r="S11" s="30" t="str">
        <x:v>beauty_salon, service, point_of_interest, establishment</x:v>
      </x:c>
      <x:c r="T11" s="30" t="str">
        <x:v>+971 600 560037</x:v>
      </x:c>
      <x:c r="U11" s="30" t="str">
        <x:v>http://www.bedashingbeauty.com/</x:v>
      </x:c>
      <x:c r="V11" s="30" t="str">
        <x:v>https://maps.google.com/?cid=11930580982451014608&amp;g_mp=CiVnb29nbGUubWFwcy5wbGFjZXMudjEuUGxhY2VzLkdldFBsYWNlEAIYBCAA</x:v>
      </x:c>
      <x:c r="W11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11" s="30" t="n">
        <x:v>1</x:v>
      </x:c>
      <x:c r="Y11" s="30" t="n">
        <x:v>0.9257</x:v>
      </x:c>
      <x:c r="Z11" s="30" t="n">
        <x:v>0.9074</x:v>
      </x:c>
      <x:c r="AA11" s="30" t="str">
        <x:v>MATCHED_EXISTING_PLACE_ID</x:v>
      </x:c>
      <x:c r="AB11" s="30"/>
      <x:c r="AC11" s="30" t="str">
        <x:v>https://bedashingbeauty.com/lounges/</x:v>
      </x:c>
      <x:c r="AD11" s="30" t="str">
        <x:v>Google Places API (New)</x:v>
      </x:c>
      <x:c r="AE11" s="30" t="n">
        <x:v>46267.63576388889</x:v>
      </x:c>
      <x:c r="AF11" s="30" t="n">
        <x:v>10</x:v>
      </x:c>
    </x:row>
    <x:row r="12" ht="15" hidden="0" customHeight="1">
      <x:c r="A12" s="30" t="n">
        <x:v>32</x:v>
      </x:c>
      <x:c r="B12" s="30" t="str">
        <x:v>Jumeirah Park</x:v>
      </x:c>
      <x:c r="C12" s="30" t="str">
        <x:v>Shop 17 &amp; 18, Jumeirah Park Club House - Jumeirah Park - Dubai</x:v>
      </x:c>
      <x:c r="D12" s="30" t="str">
        <x:v>Dubai</x:v>
      </x:c>
      <x:c r="E12" s="30" t="str">
        <x:v>Dubai</x:v>
      </x:c>
      <x:c r="F12" s="30" t="n">
        <x:v>25.0410563</x:v>
      </x:c>
      <x:c r="G12" s="30" t="n">
        <x:v>55.1644674</x:v>
      </x:c>
      <x:c r="H12" s="30" t="str">
        <x:v>600 560 037</x:v>
      </x:c>
      <x:c r="I12" s="30" t="str">
        <x:v>https://phorest.com/book/salons/bedashingjumeirahpark</x:v>
      </x:c>
      <x:c r="J12" s="30" t="str">
        <x:v>ChIJ-0P7Jf1tXz4Rje7-0YFcM3Q</x:v>
      </x:c>
      <x:c r="K12" s="30" t="str">
        <x:v>Bedashing Beauty Lounge Jumeirah Park</x:v>
      </x:c>
      <x:c r="L12" s="30" t="str">
        <x:v>Shop 17 &amp; 18, Jumeirah Park Club House - الثنيه الخامسة - Jumeirah Park - دبي - United Arab Emirates</x:v>
      </x:c>
      <x:c r="M12" s="30" t="n">
        <x:v>25.039154000000003</x:v>
      </x:c>
      <x:c r="N12" s="30" t="n">
        <x:v>55.1659736</x:v>
      </x:c>
      <x:c r="O12" s="30" t="n">
        <x:v>4.8</x:v>
      </x:c>
      <x:c r="P12" s="30" t="n">
        <x:v>440</x:v>
      </x:c>
      <x:c r="Q12" s="30" t="str">
        <x:v>OPERATIONAL</x:v>
      </x:c>
      <x:c r="R12" s="30" t="str">
        <x:v>beauty_salon</x:v>
      </x:c>
      <x:c r="S12" s="30" t="str">
        <x:v>beauty_salon, service, point_of_interest, establishment</x:v>
      </x:c>
      <x:c r="T12" s="30" t="str">
        <x:v>+971 600 560037</x:v>
      </x:c>
      <x:c r="U12" s="30" t="str">
        <x:v>https://bedashingbeauty.com/</x:v>
      </x:c>
      <x:c r="V12" s="30" t="str">
        <x:v>https://maps.google.com/?cid=8373137844855565965&amp;g_mp=CiVnb29nbGUubWFwcy5wbGFjZXMudjEuUGxhY2VzLkdldFBsYWNlEAIYBCAA</x:v>
      </x:c>
      <x:c r="W12" s="30" t="str">
        <x:v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x:v>
      </x:c>
      <x:c r="X12" s="30" t="n">
        <x:v>1</x:v>
      </x:c>
      <x:c r="Y12" s="30" t="n">
        <x:v>0.2603</x:v>
      </x:c>
      <x:c r="Z12" s="30" t="n">
        <x:v>0.974</x:v>
      </x:c>
      <x:c r="AA12" s="30" t="str">
        <x:v>MATCHED_EXISTING_PLACE_ID</x:v>
      </x:c>
      <x:c r="AB12" s="30"/>
      <x:c r="AC12" s="30" t="str">
        <x:v>https://bedashingbeauty.com/lounges/</x:v>
      </x:c>
      <x:c r="AD12" s="30" t="str">
        <x:v>Google Places API (New)</x:v>
      </x:c>
      <x:c r="AE12" s="30" t="n">
        <x:v>46267.63576388889</x:v>
      </x:c>
      <x:c r="AF12" s="30" t="n">
        <x:v>11</x:v>
      </x:c>
    </x:row>
    <x:row r="13" ht="15" hidden="0" customHeight="1">
      <x:c r="A13" s="30" t="n">
        <x:v>40</x:v>
      </x:c>
      <x:c r="B13" s="30" t="str">
        <x:v>Khaleej Al Arabi</x:v>
      </x:c>
      <x:c r="C13" s="30" t="str">
        <x:v>Opposite Al Bateen Gardens, Next to Mubarak Bin Muhamad School, Khaleej Al Arabi Street, Between Al Falah and Defence Road, Abu Dhabi, UAE.</x:v>
      </x:c>
      <x:c r="D13" s="30" t="str">
        <x:v>Abu Dhabi</x:v>
      </x:c>
      <x:c r="E13" s="30" t="str">
        <x:v>Abu Dhabi</x:v>
      </x:c>
      <x:c r="F13" s="30" t="n">
        <x:v>24.4730534</x:v>
      </x:c>
      <x:c r="G13" s="30" t="n">
        <x:v>54.3737489</x:v>
      </x:c>
      <x:c r="H13" s="30" t="str">
        <x:v>600 560 037</x:v>
      </x:c>
      <x:c r="I13" s="30" t="str">
        <x:v>https://phorest.com/book/salons/dashingkhaleejalarabi</x:v>
      </x:c>
      <x:c r="J13" s="30" t="str">
        <x:v>ChIJ7Q7KjQNmXj4ROEhXBTwMTWk</x:v>
      </x:c>
      <x:c r="K13" s="30" t="str">
        <x:v>Bedashing Beauty Lounge Khaleej Al Arabi</x:v>
      </x:c>
      <x:c r="L13" s="30" t="str">
        <x:v>Villa 487, Next to Mubarak Bin Muhamad School - الخالدية - غرب 17 2 - أبو ظبي - United Arab Emirates</x:v>
      </x:c>
      <x:c r="M13" s="30" t="n">
        <x:v>24.458870200000003</x:v>
      </x:c>
      <x:c r="N13" s="30" t="n">
        <x:v>54.3537762</x:v>
      </x:c>
      <x:c r="O13" s="30" t="n">
        <x:v>4.6</x:v>
      </x:c>
      <x:c r="P13" s="30" t="n">
        <x:v>1737</x:v>
      </x:c>
      <x:c r="Q13" s="30" t="str">
        <x:v>OPERATIONAL</x:v>
      </x:c>
      <x:c r="R13" s="30" t="str">
        <x:v>beauty_salon</x:v>
      </x:c>
      <x:c r="S13" s="30" t="str">
        <x:v>beauty_salon, spa, point_of_interest, service, establishment</x:v>
      </x:c>
      <x:c r="T13" s="30" t="str">
        <x:v>+971 600 560037</x:v>
      </x:c>
      <x:c r="U13" s="30" t="str">
        <x:v>http://www.bedashingbeauty.com/</x:v>
      </x:c>
      <x:c r="V13" s="30" t="str">
        <x:v>https://maps.google.com/?cid=7587734399116331064&amp;g_mp=Cidnb29nbGUubWFwcy5wbGFjZXMudjEuUGxhY2VzLlNlYXJjaFRleHQQAhgEIAA</x:v>
      </x:c>
      <x:c r="W13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13" s="30" t="n">
        <x:v>1</x:v>
      </x:c>
      <x:c r="Y13" s="30" t="n">
        <x:v>2.5639</x:v>
      </x:c>
      <x:c r="Z13" s="30" t="n">
        <x:v>0.7436</x:v>
      </x:c>
      <x:c r="AA13" s="30" t="str">
        <x:v>MATCHED_NEW_SEARCH</x:v>
      </x:c>
      <x:c r="AB13" s="30"/>
      <x:c r="AC13" s="30" t="str">
        <x:v>https://bedashingbeauty.com/lounges/</x:v>
      </x:c>
      <x:c r="AD13" s="30" t="str">
        <x:v>Google Places API (New)</x:v>
      </x:c>
      <x:c r="AE13" s="30" t="n">
        <x:v>46267.63576388889</x:v>
      </x:c>
      <x:c r="AF13" s="30" t="n">
        <x:v>10</x:v>
      </x:c>
    </x:row>
    <x:row r="14" ht="15" hidden="0" customHeight="1">
      <x:c r="A14" s="30" t="n">
        <x:v>41</x:v>
      </x:c>
      <x:c r="B14" s="30" t="str">
        <x:v>Khalifa City A</x:v>
      </x:c>
      <x:c r="C14" s="30" t="str">
        <x:v>Villa 1, Casablanca Residence, Beside Mashreq Bank, Khalifa City A, Abu Dhabi, UAE</x:v>
      </x:c>
      <x:c r="D14" s="30" t="str">
        <x:v>Abu Dhabi</x:v>
      </x:c>
      <x:c r="E14" s="30" t="str">
        <x:v>Abu Dhabi</x:v>
      </x:c>
      <x:c r="F14" s="30" t="n">
        <x:v>24.4400318</x:v>
      </x:c>
      <x:c r="G14" s="30" t="n">
        <x:v>54.5989826</x:v>
      </x:c>
      <x:c r="H14" s="30" t="str">
        <x:v>600 560 037</x:v>
      </x:c>
      <x:c r="I14" s="30" t="str">
        <x:v>https://phorest.com/book/salons/dashingkhalifacity</x:v>
      </x:c>
      <x:c r="J14" s="30" t="str">
        <x:v>ChIJew69Lv1FXj4RjK59U-COz1k</x:v>
      </x:c>
      <x:c r="K14" s="30" t="str">
        <x:v>Bedashing Beauty Lounge Khalifa City A</x:v>
      </x:c>
      <x:c r="L14" s="30" t="str">
        <x:v>Al Mireef St - Khalifa City - SE42 - Abu Dhabi - United Arab Emirates</x:v>
      </x:c>
      <x:c r="M14" s="30" t="n">
        <x:v>24.4399805</x:v>
      </x:c>
      <x:c r="N14" s="30" t="n">
        <x:v>54.5989056</x:v>
      </x:c>
      <x:c r="O14" s="30" t="n">
        <x:v>4.5</x:v>
      </x:c>
      <x:c r="P14" s="30" t="n">
        <x:v>2453</x:v>
      </x:c>
      <x:c r="Q14" s="30" t="str">
        <x:v>OPERATIONAL</x:v>
      </x:c>
      <x:c r="R14" s="30" t="str">
        <x:v>beauty_salon</x:v>
      </x:c>
      <x:c r="S14" s="30" t="str">
        <x:v>beauty_salon, nail_salon, service, point_of_interest, establishment</x:v>
      </x:c>
      <x:c r="T14" s="30" t="str">
        <x:v>+971 600 560037</x:v>
      </x:c>
      <x:c r="U14" s="30" t="str">
        <x:v>http://www.bedashingbeauty.com/</x:v>
      </x:c>
      <x:c r="V14" s="30" t="str">
        <x:v>https://maps.google.com/?cid=6471548283679256204&amp;g_mp=CiVnb29nbGUubWFwcy5wbGFjZXMudjEuUGxhY2VzLkdldFBsYWNlEAIYBCAA</x:v>
      </x:c>
      <x:c r="W14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14" s="30" t="n">
        <x:v>1</x:v>
      </x:c>
      <x:c r="Y14" s="30" t="n">
        <x:v>0.0097</x:v>
      </x:c>
      <x:c r="Z14" s="30" t="n">
        <x:v>0.999</x:v>
      </x:c>
      <x:c r="AA14" s="30" t="str">
        <x:v>MATCHED_EXISTING_PLACE_ID</x:v>
      </x:c>
      <x:c r="AB14" s="30"/>
      <x:c r="AC14" s="30" t="str">
        <x:v>https://bedashingbeauty.com/lounges/</x:v>
      </x:c>
      <x:c r="AD14" s="30" t="str">
        <x:v>Google Places API (New)</x:v>
      </x:c>
      <x:c r="AE14" s="30" t="n">
        <x:v>46267.63576388889</x:v>
      </x:c>
      <x:c r="AF14" s="30" t="n">
        <x:v>10</x:v>
      </x:c>
    </x:row>
    <x:row r="15" ht="15" hidden="0" customHeight="1">
      <x:c r="A15" s="30" t="n">
        <x:v>43</x:v>
      </x:c>
      <x:c r="B15" s="30" t="str">
        <x:v>Ministries Complex</x:v>
      </x:c>
      <x:c r="C15" s="30" t="str">
        <x:v>Shop No - 3, ICT Building, Khalifa Park (Ministry Area), Beside Union National Bank, Abu Dhabi, UAE</x:v>
      </x:c>
      <x:c r="D15" s="30" t="str">
        <x:v>Abu Dhabi</x:v>
      </x:c>
      <x:c r="E15" s="30" t="str">
        <x:v>Abu Dhabi</x:v>
      </x:c>
      <x:c r="F15" s="30" t="n">
        <x:v>24.4255478</x:v>
      </x:c>
      <x:c r="G15" s="30" t="n">
        <x:v>54.4694026</x:v>
      </x:c>
      <x:c r="H15" s="30" t="str">
        <x:v>600560037</x:v>
      </x:c>
      <x:c r="I15" s="30" t="str">
        <x:v>https://phorest.com/book/salons/bedashingministryarea</x:v>
      </x:c>
      <x:c r="J15" s="30" t="str">
        <x:v>ChIJRfTVvZVDXj4RZZRKmMGM9cs</x:v>
      </x:c>
      <x:c r="K15" s="30" t="str">
        <x:v>Bedashing Beauty Lounge Ministries Complex</x:v>
      </x:c>
      <x:c r="L15" s="30" t="str">
        <x:v>Shop No. 3, ICT Building, Khalifa Park ,Ministry Area - المنتزه - شرق 48 - أبو ظبي - United Arab Emirates</x:v>
      </x:c>
      <x:c r="M15" s="30" t="n">
        <x:v>24.432147</x:v>
      </x:c>
      <x:c r="N15" s="30" t="n">
        <x:v>54.4647516</x:v>
      </x:c>
      <x:c r="O15" s="30" t="n">
        <x:v>4.9</x:v>
      </x:c>
      <x:c r="P15" s="30" t="n">
        <x:v>1214</x:v>
      </x:c>
      <x:c r="Q15" s="30" t="str">
        <x:v>OPERATIONAL</x:v>
      </x:c>
      <x:c r="R15" s="30" t="str">
        <x:v>beauty_salon</x:v>
      </x:c>
      <x:c r="S15" s="30" t="str">
        <x:v>beauty_salon, service, point_of_interest, establishment</x:v>
      </x:c>
      <x:c r="T15" s="30" t="str">
        <x:v>+971 600 560037</x:v>
      </x:c>
      <x:c r="U15" s="30" t="str">
        <x:v>http://www.bedashingbeauty.com/</x:v>
      </x:c>
      <x:c r="V15" s="30" t="str">
        <x:v>https://maps.google.com/?cid=14696807722105082981&amp;g_mp=CiVnb29nbGUubWFwcy5wbGFjZXMudjEuUGxhY2VzLkdldFBsYWNlEAIYBCAA</x:v>
      </x:c>
      <x:c r="W15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15" s="30" t="n">
        <x:v>1</x:v>
      </x:c>
      <x:c r="Y15" s="30" t="n">
        <x:v>0.8719</x:v>
      </x:c>
      <x:c r="Z15" s="30" t="n">
        <x:v>0.9128</x:v>
      </x:c>
      <x:c r="AA15" s="30" t="str">
        <x:v>MATCHED_EXISTING_PLACE_ID</x:v>
      </x:c>
      <x:c r="AB15" s="30"/>
      <x:c r="AC15" s="30" t="str">
        <x:v>https://bedashingbeauty.com/lounges/</x:v>
      </x:c>
      <x:c r="AD15" s="30" t="str">
        <x:v>Google Places API (New)</x:v>
      </x:c>
      <x:c r="AE15" s="30" t="n">
        <x:v>46267.63576388889</x:v>
      </x:c>
      <x:c r="AF15" s="30" t="n">
        <x:v>10</x:v>
      </x:c>
    </x:row>
    <x:row r="16" ht="15" hidden="0" customHeight="1">
      <x:c r="A16" s="30" t="n">
        <x:v>29</x:v>
      </x:c>
      <x:c r="B16" s="30" t="str">
        <x:v>Mirdif 35</x:v>
      </x:c>
      <x:c r="C16" s="30" t="str">
        <x:v>Khansaheb Mirdif 35, Level 2, Unit L2 -10, Dubai, UAE</x:v>
      </x:c>
      <x:c r="D16" s="30" t="str">
        <x:v>Dubai</x:v>
      </x:c>
      <x:c r="E16" s="30" t="str">
        <x:v>Dubai</x:v>
      </x:c>
      <x:c r="F16" s="30" t="n">
        <x:v>25.232337</x:v>
      </x:c>
      <x:c r="G16" s="30" t="n">
        <x:v>55.433024</x:v>
      </x:c>
      <x:c r="H16" s="30" t="str">
        <x:v>600560037</x:v>
      </x:c>
      <x:c r="I16" s="30" t="str">
        <x:v>https://phorest.com/book/salons/dashingalwasl</x:v>
      </x:c>
      <x:c r="J16" s="30" t="str">
        <x:v>ChIJJym1WZlgXz4RDU-v4mRhckE</x:v>
      </x:c>
      <x:c r="K16" s="30" t="str">
        <x:v>Bedashing Beauty Lounge - Mirdif 35</x:v>
      </x:c>
      <x:c r="L16" s="30" t="str">
        <x:v>Mirdif 35, Level 2, unit L2-10, dubai - مردف - دبي - United Arab Emirates</x:v>
      </x:c>
      <x:c r="M16" s="30" t="n">
        <x:v>25.2322986</x:v>
      </x:c>
      <x:c r="N16" s="30" t="n">
        <x:v>55.4329599</x:v>
      </x:c>
      <x:c r="O16" s="30" t="n">
        <x:v>4.5</x:v>
      </x:c>
      <x:c r="P16" s="30" t="n">
        <x:v>817</x:v>
      </x:c>
      <x:c r="Q16" s="30" t="str">
        <x:v>OPERATIONAL</x:v>
      </x:c>
      <x:c r="R16" s="30" t="str">
        <x:v>beauty_salon</x:v>
      </x:c>
      <x:c r="S16" s="30" t="str">
        <x:v>beauty_salon, service, point_of_interest, establishment</x:v>
      </x:c>
      <x:c r="T16" s="30" t="str">
        <x:v>+971 600 560037</x:v>
      </x:c>
      <x:c r="U16" s="30" t="str">
        <x:v>http://bedashingbeauty.com/</x:v>
      </x:c>
      <x:c r="V16" s="30" t="str">
        <x:v>https://maps.google.com/?cid=4715938845738094349&amp;g_mp=CiVnb29nbGUubWFwcy5wbGFjZXMudjEuUGxhY2VzLkdldFBsYWNlEAIYBCAA</x:v>
      </x:c>
      <x:c r="W16" s="30" t="str">
        <x:v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x:v>
      </x:c>
      <x:c r="X16" s="30" t="n">
        <x:v>1</x:v>
      </x:c>
      <x:c r="Y16" s="30" t="n">
        <x:v>0.0077</x:v>
      </x:c>
      <x:c r="Z16" s="30" t="n">
        <x:v>0.9992</x:v>
      </x:c>
      <x:c r="AA16" s="30" t="str">
        <x:v>MATCHED_EXISTING_PLACE_ID</x:v>
      </x:c>
      <x:c r="AB16" s="30"/>
      <x:c r="AC16" s="30" t="str">
        <x:v>https://bedashingbeauty.com/lounges/</x:v>
      </x:c>
      <x:c r="AD16" s="30" t="str">
        <x:v>Google Places API (New)</x:v>
      </x:c>
      <x:c r="AE16" s="30" t="n">
        <x:v>46267.63576388889</x:v>
      </x:c>
      <x:c r="AF16" s="30" t="n">
        <x:v>11</x:v>
      </x:c>
    </x:row>
    <x:row r="17" ht="15" hidden="0" customHeight="1">
      <x:c r="A17" s="30" t="n">
        <x:v>44</x:v>
      </x:c>
      <x:c r="B17" s="30" t="str">
        <x:v>Mohammed Bin Zayed City</x:v>
      </x:c>
      <x:c r="C17" s="30" t="str">
        <x:v>Villa No: 5 69 Al Raqi St - Abu Dhabi, UAE</x:v>
      </x:c>
      <x:c r="D17" s="30" t="str">
        <x:v>Abu Dhabi</x:v>
      </x:c>
      <x:c r="E17" s="30" t="str">
        <x:v>Abu Dhabi</x:v>
      </x:c>
      <x:c r="F17" s="30" t="n">
        <x:v>24.3663809</x:v>
      </x:c>
      <x:c r="G17" s="30" t="n">
        <x:v>54.5403604</x:v>
      </x:c>
      <x:c r="H17" s="30" t="str">
        <x:v>600 560 037</x:v>
      </x:c>
      <x:c r="I17" s="30" t="str">
        <x:v>https://phorest.com/book/salons/dashingsprings</x:v>
      </x:c>
      <x:c r="J17" s="30" t="str">
        <x:v>ChIJ1acVeH1HXj4RSli59C2hk2k</x:v>
      </x:c>
      <x:c r="K17" s="30" t="str">
        <x:v>Bedashing Beauty Lounge Mohammad Bin Zayed City</x:v>
      </x:c>
      <x:c r="L17" s="30" t="str">
        <x:v>69 شارع الرَاقِي - Mohamed Bin Zayed City - Z1 - Abu Dhabi - United Arab Emirates</x:v>
      </x:c>
      <x:c r="M17" s="30" t="n">
        <x:v>24.3667831</x:v>
      </x:c>
      <x:c r="N17" s="30" t="n">
        <x:v>54.5403404</x:v>
      </x:c>
      <x:c r="O17" s="30" t="n">
        <x:v>4.4</x:v>
      </x:c>
      <x:c r="P17" s="30" t="n">
        <x:v>831</x:v>
      </x:c>
      <x:c r="Q17" s="30" t="str">
        <x:v>OPERATIONAL</x:v>
      </x:c>
      <x:c r="R17" s="30" t="str">
        <x:v>beauty_salon</x:v>
      </x:c>
      <x:c r="S17" s="30" t="str">
        <x:v>beauty_salon, point_of_interest, service, establishment</x:v>
      </x:c>
      <x:c r="T17" s="30" t="str">
        <x:v>+971 600 560037</x:v>
      </x:c>
      <x:c r="U17" s="30" t="str">
        <x:v>http://www.bedashingbeauty.com/</x:v>
      </x:c>
      <x:c r="V17" s="30" t="str">
        <x:v>https://maps.google.com/?cid=7607601414310287434&amp;g_mp=CiVnb29nbGUubWFwcy5wbGFjZXMudjEuUGxhY2VzLkdldFBsYWNlEAIYBCAA</x:v>
      </x:c>
      <x:c r="W17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17" s="30" t="n">
        <x:v>0.9565</x:v>
      </x:c>
      <x:c r="Y17" s="30" t="n">
        <x:v>0.0448</x:v>
      </x:c>
      <x:c r="Z17" s="30" t="n">
        <x:v>0.9694</x:v>
      </x:c>
      <x:c r="AA17" s="30" t="str">
        <x:v>MATCHED_EXISTING_PLACE_ID</x:v>
      </x:c>
      <x:c r="AB17" s="30"/>
      <x:c r="AC17" s="30" t="str">
        <x:v>https://bedashingbeauty.com/lounges/</x:v>
      </x:c>
      <x:c r="AD17" s="30" t="str">
        <x:v>Google Places API (New)</x:v>
      </x:c>
      <x:c r="AE17" s="30" t="n">
        <x:v>46267.63576388889</x:v>
      </x:c>
      <x:c r="AF17" s="30" t="n">
        <x:v>10</x:v>
      </x:c>
    </x:row>
    <x:row r="18" ht="15" hidden="0" customHeight="1">
      <x:c r="A18" s="30" t="n">
        <x:v>31</x:v>
      </x:c>
      <x:c r="B18" s="30" t="str">
        <x:v>Nad Al Sheba</x:v>
      </x:c>
      <x:c r="C18" s="30" t="str">
        <x:v>Nad Al Sheba Mall, Nad Al Sheba 3 - Dubai, Shop No. L2-048 - Dubai</x:v>
      </x:c>
      <x:c r="D18" s="30" t="str">
        <x:v>Dubai</x:v>
      </x:c>
      <x:c r="E18" s="30" t="str">
        <x:v>Dubai</x:v>
      </x:c>
      <x:c r="F18" s="30" t="n">
        <x:v>25.2004324</x:v>
      </x:c>
      <x:c r="G18" s="30" t="n">
        <x:v>55.3862638</x:v>
      </x:c>
      <x:c r="H18" s="30" t="str">
        <x:v>600560037</x:v>
      </x:c>
      <x:c r="I18" s="30" t="str">
        <x:v>https://phorest.com/book/salons/bedashingnadalsheba</x:v>
      </x:c>
      <x:c r="J18" s="30" t="str">
        <x:v>ChIJR6DuRulnXz4RsewBFpNYmzQ</x:v>
      </x:c>
      <x:c r="K18" s="30" t="str">
        <x:v>Bedashing Beauty Lounge Nad Al Sheba</x:v>
      </x:c>
      <x:c r="L18" s="30" t="str">
        <x:v>5959+RVJ - Nad Al Sheba - Nad Al Sheba 3 - Dubai, Shop No. L2-048 - Mall - ند الشبا - ند الشبا ٣ - دبي - United Arab Emirates</x:v>
      </x:c>
      <x:c r="M18" s="30" t="n">
        <x:v>25.1595625</x:v>
      </x:c>
      <x:c r="N18" s="30" t="n">
        <x:v>55.3696875</x:v>
      </x:c>
      <x:c r="O18" s="30" t="n">
        <x:v>4.6</x:v>
      </x:c>
      <x:c r="P18" s="30" t="n">
        <x:v>627</x:v>
      </x:c>
      <x:c r="Q18" s="30" t="str">
        <x:v>OPERATIONAL</x:v>
      </x:c>
      <x:c r="R18" s="30" t="str">
        <x:v>beauty_salon</x:v>
      </x:c>
      <x:c r="S18" s="30" t="str">
        <x:v>beauty_salon, service, point_of_interest, establishment</x:v>
      </x:c>
      <x:c r="T18" s="30" t="str">
        <x:v>+971 600 560037</x:v>
      </x:c>
      <x:c r="U18" s="30" t="str">
        <x:v>https://www.bedashingbeauty.com/</x:v>
      </x:c>
      <x:c r="V18" s="30" t="str">
        <x:v>https://maps.google.com/?cid=3790720900115066033&amp;g_mp=Cidnb29nbGUubWFwcy5wbGFjZXMudjEuUGxhY2VzLlNlYXJjaFRleHQQAhgEIAA</x:v>
      </x:c>
      <x:c r="W18" s="30" t="str">
        <x:v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x:v>
      </x:c>
      <x:c r="X18" s="30" t="n">
        <x:v>1</x:v>
      </x:c>
      <x:c r="Y18" s="30" t="n">
        <x:v>4.841</x:v>
      </x:c>
      <x:c r="Z18" s="30" t="n">
        <x:v>0.7</x:v>
      </x:c>
      <x:c r="AA18" s="30" t="str">
        <x:v>MATCHED_NEW_SEARCH</x:v>
      </x:c>
      <x:c r="AB18" s="30"/>
      <x:c r="AC18" s="30" t="str">
        <x:v>https://bedashingbeauty.com/lounges/</x:v>
      </x:c>
      <x:c r="AD18" s="30" t="str">
        <x:v>Google Places API (New)</x:v>
      </x:c>
      <x:c r="AE18" s="30" t="n">
        <x:v>46267.63576388889</x:v>
      </x:c>
      <x:c r="AF18" s="30" t="n">
        <x:v>11</x:v>
      </x:c>
    </x:row>
    <x:row r="19" ht="15" hidden="0" customHeight="1">
      <x:c r="A19" s="30" t="n">
        <x:v>52</x:v>
      </x:c>
      <x:c r="B19" s="30" t="str">
        <x:v>Noya Plaza</x:v>
      </x:c>
      <x:c r="C19" s="30" t="str">
        <x:v>Noya Plaza, East Yas - G 22 - Yas Island - YN7</x:v>
      </x:c>
      <x:c r="D19" s="30" t="str">
        <x:v>Abu Dhabi</x:v>
      </x:c>
      <x:c r="E19" s="30" t="str">
        <x:v>Abu Dhabi</x:v>
      </x:c>
      <x:c r="F19" s="30" t="n">
        <x:v>24.4995864</x:v>
      </x:c>
      <x:c r="G19" s="30" t="n">
        <x:v>54.625432</x:v>
      </x:c>
      <x:c r="H19" s="30" t="str">
        <x:v>600 560 037</x:v>
      </x:c>
      <x:c r="I19" s="30" t="str">
        <x:v>https://phorest.com/book/salons/abudhabiairport</x:v>
      </x:c>
      <x:c r="J19" s="30" t="str">
        <x:v>ChIJ8ZtA3AhPXj4R9bv4hORDLjI</x:v>
      </x:c>
      <x:c r="K19" s="30" t="str">
        <x:v>Bedashing Beauty Lounge Noya Plaza</x:v>
      </x:c>
      <x:c r="L19" s="30" t="str">
        <x:v>FJXG+R5 Noya Plaza, East Yas - G 22 - Yas Island - Al Dar Labour Village - Abu Dhabi - United Arab Emirates</x:v>
      </x:c>
      <x:c r="M19" s="30" t="n">
        <x:v>24.4995625</x:v>
      </x:c>
      <x:c r="N19" s="30" t="n">
        <x:v>54.6254375</x:v>
      </x:c>
      <x:c r="O19" s="30" t="n">
        <x:v>4.7</x:v>
      </x:c>
      <x:c r="P19" s="30" t="n">
        <x:v>209</x:v>
      </x:c>
      <x:c r="Q19" s="30" t="str">
        <x:v>OPERATIONAL</x:v>
      </x:c>
      <x:c r="R19" s="30" t="str">
        <x:v>beauty_salon</x:v>
      </x:c>
      <x:c r="S19" s="30" t="str">
        <x:v>beauty_salon, point_of_interest, service, establishment</x:v>
      </x:c>
      <x:c r="T19" s="30" t="str">
        <x:v>+971 600 560037</x:v>
      </x:c>
      <x:c r="U19" s="30" t="str">
        <x:v>https://www.bedashingbeauty.com/</x:v>
      </x:c>
      <x:c r="V19" s="30" t="str">
        <x:v>https://maps.google.com/?cid=3615902199587585013&amp;g_mp=CiVnb29nbGUubWFwcy5wbGFjZXMudjEuUGxhY2VzLkdldFBsYWNlEAIYBCAA</x:v>
      </x:c>
      <x:c r="W19" s="30" t="str">
        <x:v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x:v>
      </x:c>
      <x:c r="X19" s="30" t="n">
        <x:v>1</x:v>
      </x:c>
      <x:c r="Y19" s="30" t="n">
        <x:v>0.0027</x:v>
      </x:c>
      <x:c r="Z19" s="30" t="n">
        <x:v>0.9997</x:v>
      </x:c>
      <x:c r="AA19" s="30" t="str">
        <x:v>MATCHED_EXISTING_PLACE_ID</x:v>
      </x:c>
      <x:c r="AB19" s="30"/>
      <x:c r="AC19" s="30" t="str">
        <x:v>https://bedashingbeauty.com/lounges/</x:v>
      </x:c>
      <x:c r="AD19" s="30" t="str">
        <x:v>Google Places API (New)</x:v>
      </x:c>
      <x:c r="AE19" s="30" t="n">
        <x:v>46267.63576388889</x:v>
      </x:c>
      <x:c r="AF19" s="30" t="n">
        <x:v>11</x:v>
      </x:c>
    </x:row>
    <x:row r="20" ht="15" hidden="0" customHeight="1">
      <x:c r="A20" s="30" t="n">
        <x:v>48</x:v>
      </x:c>
      <x:c r="B20" s="30" t="str">
        <x:v>Ras Al Khaimah</x:v>
      </x:c>
      <x:c r="C20" s="30" t="str">
        <x:v>Villa 3, Sheikh Rashid Bin Saeed Al Maktoum Rd, Beside Al Neem City Center, Al Dhaith, Ras Al Khaimah.</x:v>
      </x:c>
      <x:c r="D20" s="30" t="str">
        <x:v>Ras Al Khaimah.</x:v>
      </x:c>
      <x:c r="E20" s="30" t="str">
        <x:v>Ras Al Khaimah.</x:v>
      </x:c>
      <x:c r="F20" s="30" t="n">
        <x:v>25.7554573</x:v>
      </x:c>
      <x:c r="G20" s="30" t="n">
        <x:v>55.9095698</x:v>
      </x:c>
      <x:c r="H20" s="30" t="str">
        <x:v>600 560 037</x:v>
      </x:c>
      <x:c r="I20" s="30" t="str">
        <x:v>https://phorest.com/book/salons/westyas</x:v>
      </x:c>
      <x:c r="J20" s="30" t="str">
        <x:v>ChIJSU1oGll19j4RCktPt_Pr5o0</x:v>
      </x:c>
      <x:c r="K20" s="30" t="str">
        <x:v>Bedashing Beauty Lounge RAK</x:v>
      </x:c>
      <x:c r="L20" s="30" t="str">
        <x:v>Villa 66 Sheikh Rashid Bin Saeed Al Maktoum Rd - Al Dhaith - Ras Al Khaimah - United Arab Emirates</x:v>
      </x:c>
      <x:c r="M20" s="30" t="n">
        <x:v>25.751541</x:v>
      </x:c>
      <x:c r="N20" s="30" t="n">
        <x:v>55.9198717</x:v>
      </x:c>
      <x:c r="O20" s="30" t="n">
        <x:v>4.6</x:v>
      </x:c>
      <x:c r="P20" s="30" t="n">
        <x:v>769</x:v>
      </x:c>
      <x:c r="Q20" s="30" t="str">
        <x:v>OPERATIONAL</x:v>
      </x:c>
      <x:c r="R20" s="30" t="str">
        <x:v>beauty_salon</x:v>
      </x:c>
      <x:c r="S20" s="30" t="str">
        <x:v>beauty_salon, point_of_interest, service, establishment</x:v>
      </x:c>
      <x:c r="T20" s="30" t="str">
        <x:v>+971 600 560037</x:v>
      </x:c>
      <x:c r="U20" s="30" t="str">
        <x:v>http://www.bedashingbeauty.com/</x:v>
      </x:c>
      <x:c r="V20" s="30" t="str">
        <x:v>https://maps.google.com/?cid=10225119435976297226&amp;g_mp=Cidnb29nbGUubWFwcy5wbGFjZXMudjEuUGxhY2VzLlNlYXJjaFRleHQQAhgEIAA</x:v>
      </x:c>
      <x:c r="W20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20" s="30" t="n">
        <x:v>0.3529</x:v>
      </x:c>
      <x:c r="Y20" s="30" t="n">
        <x:v>1.1199</x:v>
      </x:c>
      <x:c r="Z20" s="30" t="n">
        <x:v>0.4998</x:v>
      </x:c>
      <x:c r="AA20" s="30" t="str">
        <x:v>MATCHED_NEW_SEARCH</x:v>
      </x:c>
      <x:c r="AB20" s="30"/>
      <x:c r="AC20" s="30" t="str">
        <x:v>https://bedashingbeauty.com/lounges/</x:v>
      </x:c>
      <x:c r="AD20" s="30" t="str">
        <x:v>Google Places API (New)</x:v>
      </x:c>
      <x:c r="AE20" s="30" t="n">
        <x:v>46267.63576388889</x:v>
      </x:c>
      <x:c r="AF20" s="30" t="n">
        <x:v>10</x:v>
      </x:c>
    </x:row>
    <x:row r="21" ht="15" hidden="0" customHeight="1">
      <x:c r="A21" s="30" t="n">
        <x:v>35</x:v>
      </x:c>
      <x:c r="B21" s="30" t="str">
        <x:v>Shahama</x:v>
      </x:c>
      <x:c r="C21" s="30" t="str">
        <x:v>Abu Dhabi – Al Shahama Rd , Abu Dhabi</x:v>
      </x:c>
      <x:c r="D21" s="30" t="str">
        <x:v>Abu Dhabi</x:v>
      </x:c>
      <x:c r="E21" s="30" t="str">
        <x:v>Abu Dhabi</x:v>
      </x:c>
      <x:c r="F21" s="30" t="n">
        <x:v>24.4317088</x:v>
      </x:c>
      <x:c r="G21" s="30" t="n">
        <x:v>54.5521412</x:v>
      </x:c>
      <x:c r="H21" s="30" t="str">
        <x:v>600 560 037</x:v>
      </x:c>
      <x:c r="I21" s="30" t="str">
        <x:v>https://phorest.com/book/salons/dashingshahama</x:v>
      </x:c>
      <x:c r="J21" s="30" t="str">
        <x:v>ChIJh9wAonFPXj4R6P2_rlevv90</x:v>
      </x:c>
      <x:c r="K21" s="30" t="str">
        <x:v>Bedashing Beauty Lounge</x:v>
      </x:c>
      <x:c r="L21" s="30" t="str">
        <x:v>Abu Dhabi - Al Shahama Road Deerfields Mall, Shop No 419B - الباهية - الباهية القديمة - أبو ظبي - United Arab Emirates</x:v>
      </x:c>
      <x:c r="M21" s="30" t="n">
        <x:v>24.5243742</x:v>
      </x:c>
      <x:c r="N21" s="30" t="n">
        <x:v>54.6718965</x:v>
      </x:c>
      <x:c r="O21" s="30" t="n">
        <x:v>4.6</x:v>
      </x:c>
      <x:c r="P21" s="30" t="n">
        <x:v>746</x:v>
      </x:c>
      <x:c r="Q21" s="30" t="str">
        <x:v>OPERATIONAL</x:v>
      </x:c>
      <x:c r="R21" s="30" t="str">
        <x:v>beauty_salon</x:v>
      </x:c>
      <x:c r="S21" s="30" t="str">
        <x:v>beauty_salon, service, point_of_interest, establishment</x:v>
      </x:c>
      <x:c r="T21" s="30" t="str">
        <x:v>+971 600 560037</x:v>
      </x:c>
      <x:c r="U21" s="30" t="str">
        <x:v>http://www.bedashingbeauty.com/</x:v>
      </x:c>
      <x:c r="V21" s="30" t="str">
        <x:v>https://maps.google.com/?cid=15978682794062642664&amp;g_mp=CiVnb29nbGUubWFwcy5wbGFjZXMudjEuUGxhY2VzLkdldFBsYWNlEAIYBCAA</x:v>
      </x:c>
      <x:c r="W21" s="30" t="str">
        <x:v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x:v>
      </x:c>
      <x:c r="X21" s="30" t="n">
        <x:v>0</x:v>
      </x:c>
      <x:c r="Y21" s="30" t="n">
        <x:v>15.9075</x:v>
      </x:c>
      <x:c r="Z21" s="30" t="n">
        <x:v>0.1</x:v>
      </x:c>
      <x:c r="AA21" s="30" t="str">
        <x:v>MATCHED_KNOWN_PLACE_ID</x:v>
      </x:c>
      <x:c r="AB21" s="30"/>
      <x:c r="AC21" s="30" t="str">
        <x:v>https://bedashingbeauty.com/lounges/</x:v>
      </x:c>
      <x:c r="AD21" s="30" t="str">
        <x:v>Google Places API (New)</x:v>
      </x:c>
      <x:c r="AE21" s="30" t="n">
        <x:v>46267.63576388889</x:v>
      </x:c>
      <x:c r="AF21" s="30" t="n">
        <x:v>12</x:v>
      </x:c>
    </x:row>
    <x:row r="22" ht="15" hidden="0" customHeight="1">
      <x:c r="A22" s="30" t="n">
        <x:v>42</x:v>
      </x:c>
      <x:c r="B22" s="30" t="str">
        <x:v>Shakhbout City</x:v>
      </x:c>
      <x:c r="C22" s="30" t="str">
        <x:v>Bedashing Beauty Lounge, Shakhbout City 3, Abu Dhabi, UAE</x:v>
      </x:c>
      <x:c r="D22" s="30" t="str">
        <x:v>Abu Dhabi</x:v>
      </x:c>
      <x:c r="E22" s="30" t="str">
        <x:v>Abu Dhabi</x:v>
      </x:c>
      <x:c r="F22" s="30" t="n">
        <x:v>24.3481854</x:v>
      </x:c>
      <x:c r="G22" s="30" t="n">
        <x:v>54.6238561</x:v>
      </x:c>
      <x:c r="H22" s="30" t="str">
        <x:v>600 560 037</x:v>
      </x:c>
      <x:c r="I22" s="30" t="str">
        <x:v>https://phorest.com/book/salons/bedashingnails</x:v>
      </x:c>
      <x:c r="J22" s="30" t="str">
        <x:v>ChIJDbcz2A9tXz4RnqvVPtIP15c</x:v>
      </x:c>
      <x:c r="K22" s="30" t="str">
        <x:v>Bedashing Beauty Lounge Shakhbout City</x:v>
      </x:c>
      <x:c r="L22" s="30" t="str">
        <x:v>shakhbout city 3 - مدينة شخبوط - مدينة شخبوط 3 - أبو ظبي - United Arab Emirates</x:v>
      </x:c>
      <x:c r="M22" s="30" t="n">
        <x:v>24.3481854</x:v>
      </x:c>
      <x:c r="N22" s="30" t="n">
        <x:v>54.6238561</x:v>
      </x:c>
      <x:c r="O22" s="30" t="n">
        <x:v>4.5</x:v>
      </x:c>
      <x:c r="P22" s="30" t="n">
        <x:v>1267</x:v>
      </x:c>
      <x:c r="Q22" s="30" t="str">
        <x:v>OPERATIONAL</x:v>
      </x:c>
      <x:c r="R22" s="30" t="str">
        <x:v>beauty_salon</x:v>
      </x:c>
      <x:c r="S22" s="30" t="str">
        <x:v>beauty_salon, service, point_of_interest, establishment</x:v>
      </x:c>
      <x:c r="T22" s="30" t="str">
        <x:v>+971 600 560037</x:v>
      </x:c>
      <x:c r="U22" s="30" t="str">
        <x:v>http://www.bedashingbeauty.com/</x:v>
      </x:c>
      <x:c r="V22" s="30" t="str">
        <x:v>https://maps.google.com/?cid=10941231215391648670&amp;g_mp=CiVnb29nbGUubWFwcy5wbGFjZXMudjEuUGxhY2VzLkdldFBsYWNlEAIYBCAA</x:v>
      </x:c>
      <x:c r="W22" s="30" t="str">
        <x:v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x:v>
      </x:c>
      <x:c r="X22" s="30" t="n">
        <x:v>1</x:v>
      </x:c>
      <x:c r="Y22" s="30" t="n">
        <x:v>0</x:v>
      </x:c>
      <x:c r="Z22" s="30" t="n">
        <x:v>1</x:v>
      </x:c>
      <x:c r="AA22" s="30" t="str">
        <x:v>MATCHED_EXISTING_PLACE_ID</x:v>
      </x:c>
      <x:c r="AB22" s="30"/>
      <x:c r="AC22" s="30" t="str">
        <x:v>https://bedashingbeauty.com/lounges/</x:v>
      </x:c>
      <x:c r="AD22" s="30" t="str">
        <x:v>Google Places API (New)</x:v>
      </x:c>
      <x:c r="AE22" s="30" t="n">
        <x:v>46267.63576388889</x:v>
      </x:c>
      <x:c r="AF22" s="30" t="n">
        <x:v>10</x:v>
      </x:c>
    </x:row>
    <x:row r="23" ht="15" hidden="0" customHeight="1">
      <x:c r="A23" s="30" t="n">
        <x:v>34</x:v>
      </x:c>
      <x:c r="B23" s="30" t="str">
        <x:v>Westyas Branch</x:v>
      </x:c>
      <x:c r="C23" s="30" t="str">
        <x:v>Westyas Plaza, Yas Island, Abu Dhabi.</x:v>
      </x:c>
      <x:c r="D23" s="30" t="str">
        <x:v>Abu Dhabi</x:v>
      </x:c>
      <x:c r="E23" s="30" t="str">
        <x:v>Abu Dhabi</x:v>
      </x:c>
      <x:c r="F23" s="30" t="n">
        <x:v>24.4934495</x:v>
      </x:c>
      <x:c r="G23" s="30" t="n">
        <x:v>54.5870107</x:v>
      </x:c>
      <x:c r="H23" s="30" t="str">
        <x:v>600 560 037</x:v>
      </x:c>
      <x:c r="I23" s="30" t="str">
        <x:v>https://phorest.com/book/salons/dashingwestyas1</x:v>
      </x:c>
      <x:c r="J23" s="30" t="str">
        <x:v>ChIJURfcOI9FXj4RQMm5phqBgY8</x:v>
      </x:c>
      <x:c r="K23" s="30" t="str">
        <x:v>Bedashing Beauty Lounge West Yas</x:v>
      </x:c>
      <x:c r="L23" s="30" t="str">
        <x:v>West Yas Plaza - جزيرة ياس - ياس جنوب 3 04 - أبو ظبي - United Arab Emirates</x:v>
      </x:c>
      <x:c r="M23" s="30" t="n">
        <x:v>24.4934924</x:v>
      </x:c>
      <x:c r="N23" s="30" t="n">
        <x:v>54.5868369</x:v>
      </x:c>
      <x:c r="O23" s="30" t="n">
        <x:v>4.6</x:v>
      </x:c>
      <x:c r="P23" s="30" t="n">
        <x:v>727</x:v>
      </x:c>
      <x:c r="Q23" s="30" t="str">
        <x:v>OPERATIONAL</x:v>
      </x:c>
      <x:c r="R23" s="30" t="str">
        <x:v>beauty_salon</x:v>
      </x:c>
      <x:c r="S23" s="30" t="str">
        <x:v>beauty_salon, service, point_of_interest, establishment</x:v>
      </x:c>
      <x:c r="T23" s="30" t="str">
        <x:v>+971 600 560037</x:v>
      </x:c>
      <x:c r="U23" s="30" t="str">
        <x:v>http://bedashingbeauty.com/</x:v>
      </x:c>
      <x:c r="V23" s="30" t="str">
        <x:v>https://maps.google.com/?cid=10340688170885695808&amp;g_mp=CiVnb29nbGUubWFwcy5wbGFjZXMudjEuUGxhY2VzLkdldFBsYWNlEAIYBCAA</x:v>
      </x:c>
      <x:c r="W23" s="30" t="str">
        <x:v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x:v>
      </x:c>
      <x:c r="X23" s="30" t="n">
        <x:v>0.9333</x:v>
      </x:c>
      <x:c r="Y23" s="30" t="n">
        <x:v>0.0182</x:v>
      </x:c>
      <x:c r="Z23" s="30" t="n">
        <x:v>0.9582</x:v>
      </x:c>
      <x:c r="AA23" s="30" t="str">
        <x:v>MATCHED_EXISTING_PLACE_ID</x:v>
      </x:c>
      <x:c r="AB23" s="30"/>
      <x:c r="AC23" s="30" t="str">
        <x:v>https://bedashingbeauty.com/lounges/</x:v>
      </x:c>
      <x:c r="AD23" s="30" t="str">
        <x:v>Google Places API (New)</x:v>
      </x:c>
      <x:c r="AE23" s="30" t="n">
        <x:v>46267.63576388889</x:v>
      </x:c>
      <x:c r="AF23" s="30" t="n">
        <x:v>11</x:v>
      </x:c>
    </x:row>
    <x:row r="24" ht="15" hidden="0" customHeight="1">
      <x:c r="A24" s="30" t="n">
        <x:v>49</x:v>
      </x:c>
      <x:c r="B24" s="30" t="str">
        <x:v>Zawaya Walk</x:v>
      </x:c>
      <x:c r="C24" s="30" t="str">
        <x:v>Shop 32 &amp; 33 - Zawaya Walk - University City Rd - Al Shahba - Sharjah</x:v>
      </x:c>
      <x:c r="D24" s="30" t="str">
        <x:v>Sharjah</x:v>
      </x:c>
      <x:c r="E24" s="30" t="str">
        <x:v>Sharjah</x:v>
      </x:c>
      <x:c r="F24" s="30" t="n">
        <x:v>25.3306234</x:v>
      </x:c>
      <x:c r="G24" s="30" t="n">
        <x:v>55.4294728</x:v>
      </x:c>
      <x:c r="H24" s="30" t="str">
        <x:v>600 560 037</x:v>
      </x:c>
      <x:c r="I24" s="30" t="str">
        <x:v>https://phorest.com/book/salons/bedashingzawayawalk</x:v>
      </x:c>
      <x:c r="J24" s="30" t="str">
        <x:v>ChIJNY29cDNZXz4RT5H-KSCWfCo</x:v>
      </x:c>
      <x:c r="K24" s="30" t="str">
        <x:v>Bedashing Beauty Lounge Zawaya Walk</x:v>
      </x:c>
      <x:c r="L24" s="30" t="str">
        <x:v>Zawaya Walk - Shop 32 &amp; 33 - طريق المدينة الجامعية - الشهباء - ضاحية مغيدر - الشارقة - United Arab Emirates</x:v>
      </x:c>
      <x:c r="M24" s="30" t="n">
        <x:v>25.3306234</x:v>
      </x:c>
      <x:c r="N24" s="30" t="n">
        <x:v>55.4294728</x:v>
      </x:c>
      <x:c r="O24" s="30" t="n">
        <x:v>4.7</x:v>
      </x:c>
      <x:c r="P24" s="30" t="n">
        <x:v>601</x:v>
      </x:c>
      <x:c r="Q24" s="30" t="str">
        <x:v>OPERATIONAL</x:v>
      </x:c>
      <x:c r="R24" s="30" t="str">
        <x:v>beauty_salon</x:v>
      </x:c>
      <x:c r="S24" s="30" t="str">
        <x:v>beauty_salon, point_of_interest, service, establishment</x:v>
      </x:c>
      <x:c r="T24" s="30" t="str">
        <x:v>+971 600 560037</x:v>
      </x:c>
      <x:c r="U24" s="30" t="str">
        <x:v>https://www.bedashingbeauty.com/</x:v>
      </x:c>
      <x:c r="V24" s="30" t="str">
        <x:v>https://maps.google.com/?cid=3061486911592763727&amp;g_mp=CiVnb29nbGUubWFwcy5wbGFjZXMudjEuUGxhY2VzLkdldFBsYWNlEAIYBCAA</x:v>
      </x:c>
      <x:c r="W24" s="30" t="str">
        <x:v>Monday: 12:00 – 9:00 PM | Tuesday: 12:00 – 9:00 PM | Wednesday: 12:00 – 9:00 PM | Thursday: 12:00 – 9:00 PM | Friday: 12:00 – 9:00 PM | Saturday: 12:00 – 9:00 PM | Sunday: 12:00 – 9:00 PM</x:v>
      </x:c>
      <x:c r="X24" s="30" t="n">
        <x:v>1</x:v>
      </x:c>
      <x:c r="Y24" s="30" t="n">
        <x:v>0</x:v>
      </x:c>
      <x:c r="Z24" s="30" t="n">
        <x:v>1</x:v>
      </x:c>
      <x:c r="AA24" s="30" t="str">
        <x:v>MATCHED_EXISTING_PLACE_ID</x:v>
      </x:c>
      <x:c r="AB24" s="30"/>
      <x:c r="AC24" s="30" t="str">
        <x:v>https://bedashingbeauty.com/lounges/</x:v>
      </x:c>
      <x:c r="AD24" s="30" t="str">
        <x:v>Google Places API (New)</x:v>
      </x:c>
      <x:c r="AE24" s="30" t="n">
        <x:v>46267.63576388889</x:v>
      </x:c>
      <x:c r="AF24" s="30" t="n">
        <x:v>9</x:v>
      </x:c>
    </x:row>
    <x:row r="25" ht="15" hidden="0" customHeight="1">
      <x:c r="A25" s="30" t="n">
        <x:v>47</x:v>
      </x:c>
      <x:c r="B25" s="30" t="str">
        <x:v>Zayed International Airport</x:v>
      </x:c>
      <x:c r="C25" s="30" t="str">
        <x:v>International Airport - Midfield Terminal, Abu Dhabi</x:v>
      </x:c>
      <x:c r="D25" s="30" t="str">
        <x:v>Abu Dhabi</x:v>
      </x:c>
      <x:c r="E25" s="30" t="str">
        <x:v>Abu Dhabi</x:v>
      </x:c>
      <x:c r="F25" s="30" t="n">
        <x:v>24.4539811</x:v>
      </x:c>
      <x:c r="G25" s="30" t="n">
        <x:v>54.627391</x:v>
      </x:c>
      <x:c r="H25" s="30" t="str">
        <x:v>600 560 037</x:v>
      </x:c>
      <x:c r="I25" s="30" t="str">
        <x:v>https://phorest.com/book/salons/abudhabiairport</x:v>
      </x:c>
      <x:c r="J25" s="30" t="str">
        <x:v>ChIJD4c_XalPXj4RdqRn4Ir54qU</x:v>
      </x:c>
      <x:c r="K25" s="30" t="str">
        <x:v>Bedashing Beauty Lounge - Zayed International Airport (AUH)</x:v>
      </x:c>
      <x:c r="L25" s="30" t="str">
        <x:v>Midfield Terminal - International Airport - RU2-068 - المطار - مطار زايد الدولي - أبو ظبي - United Arab Emirates</x:v>
      </x:c>
      <x:c r="M25" s="30" t="n">
        <x:v>24.4527718</x:v>
      </x:c>
      <x:c r="N25" s="30" t="n">
        <x:v>54.6411421</x:v>
      </x:c>
      <x:c r="O25" s="30" t="n">
        <x:v>4.9</x:v>
      </x:c>
      <x:c r="P25" s="30" t="n">
        <x:v>534</x:v>
      </x:c>
      <x:c r="Q25" s="30" t="str">
        <x:v>OPERATIONAL</x:v>
      </x:c>
      <x:c r="R25" s="30" t="str">
        <x:v>beauty_salon</x:v>
      </x:c>
      <x:c r="S25" s="30" t="str">
        <x:v>beauty_salon, service, point_of_interest, establishment</x:v>
      </x:c>
      <x:c r="T25" s="30"/>
      <x:c r="U25" s="30" t="str">
        <x:v>https://www.bedashingbeauty.com/</x:v>
      </x:c>
      <x:c r="V25" s="30" t="str">
        <x:v>https://maps.google.com/?cid=11953390735860409462&amp;g_mp=CiVnb29nbGUubWFwcy5wbGFjZXMudjEuUGxhY2VzLkdldFBsYWNlEAIYBCAA</x:v>
      </x:c>
      <x:c r="W25" s="30" t="str">
        <x:v>Monday: Open 24 hours | Tuesday: Open 24 hours | Wednesday: Open 24 hours | Thursday: Open 24 hours | Friday: Open 24 hours | Saturday: Open 24 hours | Sunday: Open 24 hours</x:v>
      </x:c>
      <x:c r="X25" s="30" t="n">
        <x:v>0.931</x:v>
      </x:c>
      <x:c r="Y25" s="30" t="n">
        <x:v>1.3984</x:v>
      </x:c>
      <x:c r="Z25" s="30" t="n">
        <x:v>0.8188</x:v>
      </x:c>
      <x:c r="AA25" s="30" t="str">
        <x:v>MATCHED_EXISTING_PLACE_ID</x:v>
      </x:c>
      <x:c r="AB25" s="30"/>
      <x:c r="AC25" s="30" t="str">
        <x:v>https://bedashingbeauty.com/lounges/</x:v>
      </x:c>
      <x:c r="AD25" s="30" t="str">
        <x:v>Google Places API (New)</x:v>
      </x:c>
      <x:c r="AE25" s="30" t="n">
        <x:v>46267.63576388889</x:v>
      </x:c>
      <x:c r="AF25" s="30" t="n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5d4d879de9ac49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1" t="str">
        <x:v>Directional Gross Sales Scenarios — NOT Actual Revenue</x:v>
      </x:c>
      <x:c r="B1" s="21"/>
      <x:c r="C1" s="21"/>
      <x:c r="D1" s="21"/>
      <x:c r="E1" s="21"/>
      <x:c r="F1" s="21"/>
      <x:c r="G1" s="21"/>
    </x:row>
    <x:row r="2">
      <x:c r="A2" s="21"/>
      <x:c r="B2" s="21"/>
      <x:c r="C2" s="21"/>
      <x:c r="D2" s="21"/>
      <x:c r="E2" s="21"/>
      <x:c r="F2" s="21"/>
      <x:c r="G2" s="21"/>
    </x:row>
    <x:row r="3"/>
    <x:row r="4" ht="15" hidden="0" customHeight="1">
      <x:c r="A4" s="8" t="str">
        <x:v>Editable assumption</x:v>
      </x:c>
      <x:c r="B4" s="8" t="str">
        <x:v>Value</x:v>
      </x:c>
      <x:c r="D4" s="8" t="str">
        <x:v>Scenario</x:v>
      </x:c>
      <x:c r="E4" s="8" t="str">
        <x:v>Appointments/day</x:v>
      </x:c>
      <x:c r="F4" s="8" t="str">
        <x:v>Gross sales/month</x:v>
      </x:c>
      <x:c r="G4" s="8" t="str">
        <x:v>Gross sales/year</x:v>
      </x:c>
    </x:row>
    <x:row r="5" ht="15" hidden="0" customHeight="1">
      <x:c r="A5" t="str">
        <x:v>Active branches</x:v>
      </x:c>
      <x:c r="B5" s="31" t="n">
        <x:v>24</x:v>
      </x:c>
      <x:c r="D5" t="str">
        <x:v>Conservative</x:v>
      </x:c>
      <x:c r="E5" s="31" t="n">
        <x:v>20</x:v>
      </x:c>
      <x:c r="F5" s="34" t="n">
        <x:f>$B$5*$B$6*E5*$B$8*$B$9</x:f>
        <x:v>3240000</x:v>
      </x:c>
      <x:c r="G5" s="34" t="n">
        <x:f>F5*12</x:f>
        <x:v>38880000</x:v>
      </x:c>
    </x:row>
    <x:row r="6" ht="15" hidden="0" customHeight="1">
      <x:c r="A6" t="str">
        <x:v>Operating days / month</x:v>
      </x:c>
      <x:c r="B6" s="31" t="n">
        <x:v>30</x:v>
      </x:c>
      <x:c r="D6" t="str">
        <x:v>Base</x:v>
      </x:c>
      <x:c r="E6" s="31" t="n">
        <x:v>35</x:v>
      </x:c>
      <x:c r="F6" s="34" t="n">
        <x:f>$B$5*$B$6*E6*$B$8*$B$9</x:f>
        <x:v>5670000</x:v>
      </x:c>
      <x:c r="G6" s="34" t="n">
        <x:f>F6*12</x:f>
        <x:v>68040000</x:v>
      </x:c>
    </x:row>
    <x:row r="7" ht="15" hidden="0" customHeight="1">
      <x:c r="A7" t="str">
        <x:v>Average appointments / branch / day</x:v>
      </x:c>
      <x:c r="B7" s="31" t="n">
        <x:v>35</x:v>
      </x:c>
      <x:c r="D7" t="str">
        <x:v>High</x:v>
      </x:c>
      <x:c r="E7" s="31" t="n">
        <x:v>50</x:v>
      </x:c>
      <x:c r="F7" s="34" t="n">
        <x:f>$B$5*$B$6*E7*$B$8*$B$9</x:f>
        <x:v>8100000</x:v>
      </x:c>
      <x:c r="G7" s="34" t="n">
        <x:f>F7*12</x:f>
        <x:v>97200000</x:v>
      </x:c>
    </x:row>
    <x:row r="8" ht="15" hidden="0" customHeight="1">
      <x:c r="A8" t="str">
        <x:v>Average realized ticket (AED)</x:v>
      </x:c>
      <x:c r="B8" s="32" t="n">
        <x:v>250</x:v>
      </x:c>
    </x:row>
    <x:row r="9" ht="15" hidden="0" customHeight="1">
      <x:c r="A9" t="str">
        <x:v>Realization factor vs list price</x:v>
      </x:c>
      <x:c r="B9" s="33" t="n">
        <x:v>0.9</x:v>
      </x:c>
    </x:row>
    <x:row r="10" ht="15" hidden="0" customHeight="1">
      <x:c r="A10" t="str">
        <x:v>Scenario label</x:v>
      </x:c>
      <x:c r="B10" s="31" t="str">
        <x:v>Base</x:v>
      </x:c>
    </x:row>
    <x:row r="11"/>
    <x:row r="12" ht="15" hidden="0" customHeight="1">
      <x:c r="A12" s="37" t="str">
        <x:v>Critical limitation</x:v>
      </x:c>
      <x:c r="B12" s="37"/>
      <x:c r="C12" s="37"/>
      <x:c r="D12" s="37"/>
      <x:c r="E12" s="37"/>
      <x:c r="F12" s="37"/>
      <x:c r="G12" s="37"/>
    </x:row>
    <x:row r="13" ht="15" hidden="0" customHeight="1">
      <x:c r="A13" s="37" t="str">
        <x:v>This estimates gross sales opportunity from user-controlled operating assumptions. It is not sourced revenue, profit, EBITDA, or valuation.</x:v>
      </x:c>
      <x:c r="B13" s="37"/>
      <x:c r="C13" s="37"/>
      <x:c r="D13" s="37"/>
      <x:c r="E13" s="37"/>
      <x:c r="F13" s="37"/>
      <x:c r="G13" s="37"/>
    </x:row>
    <x:row r="14" ht="15" hidden="0" customHeight="1">
      <x:c r="A14" s="37" t="str">
        <x:v>Do not use this to change PROTECT/HOLD/SHRINK unless branch-level bookings, utilization, discounts, refunds, rent, payroll and contribution margin are supplied.</x:v>
      </x:c>
      <x:c r="B14" s="37"/>
      <x:c r="C14" s="37"/>
      <x:c r="D14" s="37"/>
      <x:c r="E14" s="37"/>
      <x:c r="F14" s="37"/>
      <x:c r="G14" s="37"/>
    </x:row>
    <x:row r="15" ht="15" hidden="0" customHeight="1">
      <x:c r="A15" s="37" t="str">
        <x:v>Recommended use: sensitivity demonstration and a clear list of internal data needed for the next model version.</x:v>
      </x:c>
      <x:c r="B15" s="37"/>
      <x:c r="C15" s="37"/>
      <x:c r="D15" s="37"/>
      <x:c r="E15" s="37"/>
      <x:c r="F15" s="37"/>
      <x:c r="G15" s="37"/>
    </x:row>
  </x:sheetData>
  <x:mergeCells>
    <x:mergeCell ref="A1:G2"/>
    <x:mergeCell ref="A12:G12"/>
    <x:mergeCell ref="A13:G13"/>
    <x:mergeCell ref="A14:G14"/>
    <x:mergeCell ref="A15:G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6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>
      <x:c r="A1" s="21" t="str">
        <x:v>Capacity-Based Gross Sales Proxy by Branch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/>
    <x:row r="4" ht="15" hidden="0" customHeight="1">
      <x:c r="A4" s="8" t="str">
        <x:v>Service category</x:v>
      </x:c>
      <x:c r="B4" s="8" t="str">
        <x:v>Median list productivity (AED/hour)</x:v>
      </x:c>
      <x:c r="C4" s="8" t="str">
        <x:v>Editable mix weight</x:v>
      </x:c>
      <x:c r="E4" s="8" t="str">
        <x:v>Scenario</x:v>
      </x:c>
      <x:c r="F4" s="8" t="str">
        <x:v>Productive staff/branch</x:v>
      </x:c>
      <x:c r="G4" s="8" t="str">
        <x:v>Occupancy</x:v>
      </x:c>
      <x:c r="H4" s="8" t="str">
        <x:v>Meaning</x:v>
      </x:c>
    </x:row>
    <x:row r="5" ht="15" hidden="0" customHeight="1">
      <x:c r="A5" t="str">
        <x:v>Hair</x:v>
      </x:c>
      <x:c r="B5" s="39" t="n">
        <x:v>525</x:v>
      </x:c>
      <x:c r="C5" s="40" t="n">
        <x:v>0.35</x:v>
      </x:c>
      <x:c r="E5" t="str">
        <x:v>Conservative</x:v>
      </x:c>
      <x:c r="F5" s="31" t="n">
        <x:v>6</x:v>
      </x:c>
      <x:c r="G5" s="40" t="n">
        <x:v>0.5</x:v>
      </x:c>
      <x:c r="H5" t="str">
        <x:v>Lower staffing and booked time</x:v>
      </x:c>
    </x:row>
    <x:row r="6" ht="15" hidden="0" customHeight="1">
      <x:c r="A6" t="str">
        <x:v>Nails</x:v>
      </x:c>
      <x:c r="B6" s="39" t="n">
        <x:v>160</x:v>
      </x:c>
      <x:c r="C6" s="40" t="n">
        <x:v>0.35</x:v>
      </x:c>
      <x:c r="E6" t="str">
        <x:v>Base</x:v>
      </x:c>
      <x:c r="F6" s="31" t="n">
        <x:v>10</x:v>
      </x:c>
      <x:c r="G6" s="40" t="n">
        <x:v>0.65</x:v>
      </x:c>
      <x:c r="H6" t="str">
        <x:v>Illustrative normal operation</x:v>
      </x:c>
    </x:row>
    <x:row r="7" ht="15" hidden="0" customHeight="1">
      <x:c r="A7" t="str">
        <x:v>Face</x:v>
      </x:c>
      <x:c r="B7" s="39" t="n">
        <x:v>350</x:v>
      </x:c>
      <x:c r="C7" s="40" t="n">
        <x:v>0.15</x:v>
      </x:c>
      <x:c r="E7" t="str">
        <x:v>High</x:v>
      </x:c>
      <x:c r="F7" s="31" t="n">
        <x:v>14</x:v>
      </x:c>
      <x:c r="G7" s="40" t="n">
        <x:v>0.8</x:v>
      </x:c>
      <x:c r="H7" t="str">
        <x:v>High staffing and utilization</x:v>
      </x:c>
    </x:row>
    <x:row r="8" ht="15" hidden="0" customHeight="1">
      <x:c r="A8" t="str">
        <x:v>Body &amp; Grooming</x:v>
      </x:c>
      <x:c r="B8" s="39" t="n">
        <x:v>244</x:v>
      </x:c>
      <x:c r="C8" s="40" t="n">
        <x:v>0.15</x:v>
      </x:c>
    </x:row>
    <x:row r="9" ht="15" hidden="0" customHeight="1">
      <x:c r="A9" t="str">
        <x:v>Mix weight check</x:v>
      </x:c>
      <x:c r="B9" s="41" t="n">
        <x:f>SUM(C5:C8)</x:f>
        <x:v>1</x:v>
      </x:c>
    </x:row>
    <x:row r="10" ht="15" hidden="0" customHeight="1">
      <x:c r="A10" t="str">
        <x:v>Blended list productivity</x:v>
      </x:c>
      <x:c r="B10" s="34" t="n">
        <x:f>SUMPRODUCT(B5:B8,C5:C8)</x:f>
        <x:v>328.85</x:v>
      </x:c>
    </x:row>
    <x:row r="11" ht="15" hidden="0" customHeight="1">
      <x:c r="A11" t="str">
        <x:v>Realization factor</x:v>
      </x:c>
      <x:c r="B11" s="40" t="n">
        <x:v>0.9</x:v>
      </x:c>
    </x:row>
    <x:row r="12" ht="15" hidden="0" customHeight="1">
      <x:c r="A12" t="str">
        <x:v>Operating days/month</x:v>
      </x:c>
      <x:c r="B12" s="31" t="n">
        <x:v>30</x:v>
      </x:c>
    </x:row>
    <x:row r="13"/>
    <x:row r="14"/>
    <x:row r="15" ht="15" hidden="0" customHeight="1">
      <x:c r="A15" s="42" t="str">
        <x:v>Branch</x:v>
      </x:c>
      <x:c r="B15" s="42" t="str">
        <x:v>Avg open hours/day</x:v>
      </x:c>
      <x:c r="C15" s="42" t="str">
        <x:v>Hours status</x:v>
      </x:c>
      <x:c r="D15" s="42" t="str">
        <x:v>Conservative/month</x:v>
      </x:c>
      <x:c r="E15" s="42" t="str">
        <x:v>Base/month</x:v>
      </x:c>
      <x:c r="F15" s="42" t="str">
        <x:v>High/month</x:v>
      </x:c>
      <x:c r="G15" s="42" t="str">
        <x:v>Source status</x:v>
      </x:c>
      <x:c r="H15" s="42" t="str">
        <x:v>Use in decision?</x:v>
      </x:c>
    </x:row>
    <x:row r="16" ht="15" hidden="0" customHeight="1">
      <x:c r="A16" s="6" t="str">
        <x:v>Al Ain</x:v>
      </x:c>
      <x:c r="B16" s="6" t="n">
        <x:v>10</x:v>
      </x:c>
      <x:c r="C16" s="6" t="str">
        <x:v>PARSED FROM GOOGLE</x:v>
      </x:c>
      <x:c r="D16" s="43" t="n">
        <x:f>$B$12*B16*$B$10*$B$11*$F$5*$G$5</x:f>
        <x:v>266368.5</x:v>
      </x:c>
      <x:c r="E16" s="43" t="n">
        <x:f>$B$12*B16*$B$10*$B$11*$F$6*$G$6</x:f>
        <x:v>577131.75</x:v>
      </x:c>
      <x:c r="F16" s="43" t="n">
        <x:f>$B$12*B16*$B$10*$B$11*$F$7*$G$7</x:f>
        <x:v>994442.4</x:v>
      </x:c>
      <x:c r="G16" s="6" t="str">
        <x:v>Official location + Google hours</x:v>
      </x:c>
      <x:c r="H16" s="6" t="str">
        <x:v>NO — context only</x:v>
      </x:c>
    </x:row>
    <x:row r="17" ht="15" hidden="0" customHeight="1">
      <x:c r="A17" s="6" t="str">
        <x:v>Al Barsha</x:v>
      </x:c>
      <x:c r="B17" s="6" t="n">
        <x:v>10</x:v>
      </x:c>
      <x:c r="C17" s="6" t="str">
        <x:v>PARSED FROM GOOGLE</x:v>
      </x:c>
      <x:c r="D17" s="43" t="n">
        <x:f>$B$12*B17*$B$10*$B$11*$F$5*$G$5</x:f>
        <x:v>266368.5</x:v>
      </x:c>
      <x:c r="E17" s="43" t="n">
        <x:f>$B$12*B17*$B$10*$B$11*$F$6*$G$6</x:f>
        <x:v>577131.75</x:v>
      </x:c>
      <x:c r="F17" s="43" t="n">
        <x:f>$B$12*B17*$B$10*$B$11*$F$7*$G$7</x:f>
        <x:v>994442.4</x:v>
      </x:c>
      <x:c r="G17" s="6" t="str">
        <x:v>Official location + Google hours</x:v>
      </x:c>
      <x:c r="H17" s="6" t="str">
        <x:v>NO — context only</x:v>
      </x:c>
    </x:row>
    <x:row r="18" ht="15" hidden="0" customHeight="1">
      <x:c r="A18" s="6" t="str">
        <x:v>Al Dhafra Branch</x:v>
      </x:c>
      <x:c r="B18" s="6" t="n">
        <x:v>10</x:v>
      </x:c>
      <x:c r="C18" s="6" t="str">
        <x:v>PARSED FROM GOOGLE</x:v>
      </x:c>
      <x:c r="D18" s="43" t="n">
        <x:f>$B$12*B18*$B$10*$B$11*$F$5*$G$5</x:f>
        <x:v>266368.5</x:v>
      </x:c>
      <x:c r="E18" s="43" t="n">
        <x:f>$B$12*B18*$B$10*$B$11*$F$6*$G$6</x:f>
        <x:v>577131.75</x:v>
      </x:c>
      <x:c r="F18" s="43" t="n">
        <x:f>$B$12*B18*$B$10*$B$11*$F$7*$G$7</x:f>
        <x:v>994442.4</x:v>
      </x:c>
      <x:c r="G18" s="6" t="str">
        <x:v>Official location + Google hours</x:v>
      </x:c>
      <x:c r="H18" s="6" t="str">
        <x:v>NO — context only</x:v>
      </x:c>
    </x:row>
    <x:row r="19" ht="15" hidden="0" customHeight="1">
      <x:c r="A19" s="6" t="str">
        <x:v>Al Falah</x:v>
      </x:c>
      <x:c r="B19" s="6" t="n">
        <x:v>11</x:v>
      </x:c>
      <x:c r="C19" s="6" t="str">
        <x:v>PARSED FROM GOOGLE</x:v>
      </x:c>
      <x:c r="D19" s="43" t="n">
        <x:f>$B$12*B19*$B$10*$B$11*$F$5*$G$5</x:f>
        <x:v>293005.35000000003</x:v>
      </x:c>
      <x:c r="E19" s="43" t="n">
        <x:f>$B$12*B19*$B$10*$B$11*$F$6*$G$6</x:f>
        <x:v>634844.925</x:v>
      </x:c>
      <x:c r="F19" s="43" t="n">
        <x:f>$B$12*B19*$B$10*$B$11*$F$7*$G$7</x:f>
        <x:v>1093886.6400000004</x:v>
      </x:c>
      <x:c r="G19" s="6" t="str">
        <x:v>Official location + Google hours</x:v>
      </x:c>
      <x:c r="H19" s="6" t="str">
        <x:v>NO — context only</x:v>
      </x:c>
    </x:row>
    <x:row r="20" ht="15" hidden="0" customHeight="1">
      <x:c r="A20" s="6" t="str">
        <x:v>Al Jada</x:v>
      </x:c>
      <x:c r="B20" s="6" t="n">
        <x:v>11</x:v>
      </x:c>
      <x:c r="C20" s="6" t="str">
        <x:v>PARSED FROM GOOGLE</x:v>
      </x:c>
      <x:c r="D20" s="43" t="n">
        <x:f>$B$12*B20*$B$10*$B$11*$F$5*$G$5</x:f>
        <x:v>293005.35000000003</x:v>
      </x:c>
      <x:c r="E20" s="43" t="n">
        <x:f>$B$12*B20*$B$10*$B$11*$F$6*$G$6</x:f>
        <x:v>634844.925</x:v>
      </x:c>
      <x:c r="F20" s="43" t="n">
        <x:f>$B$12*B20*$B$10*$B$11*$F$7*$G$7</x:f>
        <x:v>1093886.6400000004</x:v>
      </x:c>
      <x:c r="G20" s="6" t="str">
        <x:v>Official location + Google hours</x:v>
      </x:c>
      <x:c r="H20" s="6" t="str">
        <x:v>NO — context only</x:v>
      </x:c>
    </x:row>
    <x:row r="21" ht="15" hidden="0" customHeight="1">
      <x:c r="A21" s="6" t="str">
        <x:v>Al Maqta</x:v>
      </x:c>
      <x:c r="B21" s="6" t="n">
        <x:v>10</x:v>
      </x:c>
      <x:c r="C21" s="6" t="str">
        <x:v>PARSED FROM GOOGLE</x:v>
      </x:c>
      <x:c r="D21" s="43" t="n">
        <x:f>$B$12*B21*$B$10*$B$11*$F$5*$G$5</x:f>
        <x:v>266368.5</x:v>
      </x:c>
      <x:c r="E21" s="43" t="n">
        <x:f>$B$12*B21*$B$10*$B$11*$F$6*$G$6</x:f>
        <x:v>577131.75</x:v>
      </x:c>
      <x:c r="F21" s="43" t="n">
        <x:f>$B$12*B21*$B$10*$B$11*$F$7*$G$7</x:f>
        <x:v>994442.4</x:v>
      </x:c>
      <x:c r="G21" s="6" t="str">
        <x:v>Official location + Google hours</x:v>
      </x:c>
      <x:c r="H21" s="6" t="str">
        <x:v>NO — context only</x:v>
      </x:c>
    </x:row>
    <x:row r="22" ht="15" hidden="0" customHeight="1">
      <x:c r="A22" s="6" t="str">
        <x:v>Al Taif Mall</x:v>
      </x:c>
      <x:c r="B22" s="6" t="n">
        <x:v>9</x:v>
      </x:c>
      <x:c r="C22" s="6" t="str">
        <x:v>PARSED FROM GOOGLE</x:v>
      </x:c>
      <x:c r="D22" s="43" t="n">
        <x:f>$B$12*B22*$B$10*$B$11*$F$5*$G$5</x:f>
        <x:v>239731.65000000002</x:v>
      </x:c>
      <x:c r="E22" s="43" t="n">
        <x:f>$B$12*B22*$B$10*$B$11*$F$6*$G$6</x:f>
        <x:v>519418.575</x:v>
      </x:c>
      <x:c r="F22" s="43" t="n">
        <x:f>$B$12*B22*$B$10*$B$11*$F$7*$G$7</x:f>
        <x:v>894998.16</x:v>
      </x:c>
      <x:c r="G22" s="6" t="str">
        <x:v>Official location + Google hours</x:v>
      </x:c>
      <x:c r="H22" s="6" t="str">
        <x:v>NO — context only</x:v>
      </x:c>
    </x:row>
    <x:row r="23" ht="15" hidden="0" customHeight="1">
      <x:c r="A23" s="6" t="str">
        <x:v>Baniyas</x:v>
      </x:c>
      <x:c r="B23" s="6" t="n">
        <x:v>10</x:v>
      </x:c>
      <x:c r="C23" s="6" t="str">
        <x:v>PARSED FROM GOOGLE</x:v>
      </x:c>
      <x:c r="D23" s="43" t="n">
        <x:f>$B$12*B23*$B$10*$B$11*$F$5*$G$5</x:f>
        <x:v>266368.5</x:v>
      </x:c>
      <x:c r="E23" s="43" t="n">
        <x:f>$B$12*B23*$B$10*$B$11*$F$6*$G$6</x:f>
        <x:v>577131.75</x:v>
      </x:c>
      <x:c r="F23" s="43" t="n">
        <x:f>$B$12*B23*$B$10*$B$11*$F$7*$G$7</x:f>
        <x:v>994442.4</x:v>
      </x:c>
      <x:c r="G23" s="6" t="str">
        <x:v>Official location + Google hours</x:v>
      </x:c>
      <x:c r="H23" s="6" t="str">
        <x:v>NO — context only</x:v>
      </x:c>
    </x:row>
    <x:row r="24" ht="15" hidden="0" customHeight="1">
      <x:c r="A24" s="6" t="str">
        <x:v>City Walk</x:v>
      </x:c>
      <x:c r="B24" s="6" t="n">
        <x:v>11</x:v>
      </x:c>
      <x:c r="C24" s="6" t="str">
        <x:v>PARSED FROM GOOGLE</x:v>
      </x:c>
      <x:c r="D24" s="43" t="n">
        <x:f>$B$12*B24*$B$10*$B$11*$F$5*$G$5</x:f>
        <x:v>293005.35000000003</x:v>
      </x:c>
      <x:c r="E24" s="43" t="n">
        <x:f>$B$12*B24*$B$10*$B$11*$F$6*$G$6</x:f>
        <x:v>634844.925</x:v>
      </x:c>
      <x:c r="F24" s="43" t="n">
        <x:f>$B$12*B24*$B$10*$B$11*$F$7*$G$7</x:f>
        <x:v>1093886.6400000004</x:v>
      </x:c>
      <x:c r="G24" s="6" t="str">
        <x:v>Official location + Google hours</x:v>
      </x:c>
      <x:c r="H24" s="6" t="str">
        <x:v>NO — context only</x:v>
      </x:c>
    </x:row>
    <x:row r="25" ht="15" hidden="0" customHeight="1">
      <x:c r="A25" s="6" t="str">
        <x:v>Delma</x:v>
      </x:c>
      <x:c r="B25" s="6" t="n">
        <x:v>10</x:v>
      </x:c>
      <x:c r="C25" s="6" t="str">
        <x:v>PARSED FROM GOOGLE</x:v>
      </x:c>
      <x:c r="D25" s="43" t="n">
        <x:f>$B$12*B25*$B$10*$B$11*$F$5*$G$5</x:f>
        <x:v>266368.5</x:v>
      </x:c>
      <x:c r="E25" s="43" t="n">
        <x:f>$B$12*B25*$B$10*$B$11*$F$6*$G$6</x:f>
        <x:v>577131.75</x:v>
      </x:c>
      <x:c r="F25" s="43" t="n">
        <x:f>$B$12*B25*$B$10*$B$11*$F$7*$G$7</x:f>
        <x:v>994442.4</x:v>
      </x:c>
      <x:c r="G25" s="6" t="str">
        <x:v>Official location + Google hours</x:v>
      </x:c>
      <x:c r="H25" s="6" t="str">
        <x:v>NO — context only</x:v>
      </x:c>
    </x:row>
    <x:row r="26" ht="15" hidden="0" customHeight="1">
      <x:c r="A26" s="6" t="str">
        <x:v>Jumeirah Park</x:v>
      </x:c>
      <x:c r="B26" s="6" t="n">
        <x:v>11</x:v>
      </x:c>
      <x:c r="C26" s="6" t="str">
        <x:v>PARSED FROM GOOGLE</x:v>
      </x:c>
      <x:c r="D26" s="43" t="n">
        <x:f>$B$12*B26*$B$10*$B$11*$F$5*$G$5</x:f>
        <x:v>293005.35000000003</x:v>
      </x:c>
      <x:c r="E26" s="43" t="n">
        <x:f>$B$12*B26*$B$10*$B$11*$F$6*$G$6</x:f>
        <x:v>634844.925</x:v>
      </x:c>
      <x:c r="F26" s="43" t="n">
        <x:f>$B$12*B26*$B$10*$B$11*$F$7*$G$7</x:f>
        <x:v>1093886.6400000004</x:v>
      </x:c>
      <x:c r="G26" s="6" t="str">
        <x:v>Official location + Google hours</x:v>
      </x:c>
      <x:c r="H26" s="6" t="str">
        <x:v>NO — context only</x:v>
      </x:c>
    </x:row>
    <x:row r="27" ht="15" hidden="0" customHeight="1">
      <x:c r="A27" s="6" t="str">
        <x:v>Khaleej Al Arabi</x:v>
      </x:c>
      <x:c r="B27" s="6" t="n">
        <x:v>10</x:v>
      </x:c>
      <x:c r="C27" s="6" t="str">
        <x:v>PARSED FROM GOOGLE</x:v>
      </x:c>
      <x:c r="D27" s="43" t="n">
        <x:f>$B$12*B27*$B$10*$B$11*$F$5*$G$5</x:f>
        <x:v>266368.5</x:v>
      </x:c>
      <x:c r="E27" s="43" t="n">
        <x:f>$B$12*B27*$B$10*$B$11*$F$6*$G$6</x:f>
        <x:v>577131.75</x:v>
      </x:c>
      <x:c r="F27" s="43" t="n">
        <x:f>$B$12*B27*$B$10*$B$11*$F$7*$G$7</x:f>
        <x:v>994442.4</x:v>
      </x:c>
      <x:c r="G27" s="6" t="str">
        <x:v>Official location + Google hours</x:v>
      </x:c>
      <x:c r="H27" s="6" t="str">
        <x:v>NO — context only</x:v>
      </x:c>
    </x:row>
    <x:row r="28" ht="15" hidden="0" customHeight="1">
      <x:c r="A28" s="6" t="str">
        <x:v>Khalifa City A</x:v>
      </x:c>
      <x:c r="B28" s="6" t="n">
        <x:v>10</x:v>
      </x:c>
      <x:c r="C28" s="6" t="str">
        <x:v>PARSED FROM GOOGLE</x:v>
      </x:c>
      <x:c r="D28" s="43" t="n">
        <x:f>$B$12*B28*$B$10*$B$11*$F$5*$G$5</x:f>
        <x:v>266368.5</x:v>
      </x:c>
      <x:c r="E28" s="43" t="n">
        <x:f>$B$12*B28*$B$10*$B$11*$F$6*$G$6</x:f>
        <x:v>577131.75</x:v>
      </x:c>
      <x:c r="F28" s="43" t="n">
        <x:f>$B$12*B28*$B$10*$B$11*$F$7*$G$7</x:f>
        <x:v>994442.4</x:v>
      </x:c>
      <x:c r="G28" s="6" t="str">
        <x:v>Official location + Google hours</x:v>
      </x:c>
      <x:c r="H28" s="6" t="str">
        <x:v>NO — context only</x:v>
      </x:c>
    </x:row>
    <x:row r="29" ht="15" hidden="0" customHeight="1">
      <x:c r="A29" s="6" t="str">
        <x:v>Ministries Complex</x:v>
      </x:c>
      <x:c r="B29" s="6" t="n">
        <x:v>10</x:v>
      </x:c>
      <x:c r="C29" s="6" t="str">
        <x:v>PARSED FROM GOOGLE</x:v>
      </x:c>
      <x:c r="D29" s="43" t="n">
        <x:f>$B$12*B29*$B$10*$B$11*$F$5*$G$5</x:f>
        <x:v>266368.5</x:v>
      </x:c>
      <x:c r="E29" s="43" t="n">
        <x:f>$B$12*B29*$B$10*$B$11*$F$6*$G$6</x:f>
        <x:v>577131.75</x:v>
      </x:c>
      <x:c r="F29" s="43" t="n">
        <x:f>$B$12*B29*$B$10*$B$11*$F$7*$G$7</x:f>
        <x:v>994442.4</x:v>
      </x:c>
      <x:c r="G29" s="6" t="str">
        <x:v>Official location + Google hours</x:v>
      </x:c>
      <x:c r="H29" s="6" t="str">
        <x:v>NO — context only</x:v>
      </x:c>
    </x:row>
    <x:row r="30" ht="15" hidden="0" customHeight="1">
      <x:c r="A30" s="6" t="str">
        <x:v>Mirdif 35</x:v>
      </x:c>
      <x:c r="B30" s="6" t="n">
        <x:v>11</x:v>
      </x:c>
      <x:c r="C30" s="6" t="str">
        <x:v>PARSED FROM GOOGLE</x:v>
      </x:c>
      <x:c r="D30" s="43" t="n">
        <x:f>$B$12*B30*$B$10*$B$11*$F$5*$G$5</x:f>
        <x:v>293005.35000000003</x:v>
      </x:c>
      <x:c r="E30" s="43" t="n">
        <x:f>$B$12*B30*$B$10*$B$11*$F$6*$G$6</x:f>
        <x:v>634844.925</x:v>
      </x:c>
      <x:c r="F30" s="43" t="n">
        <x:f>$B$12*B30*$B$10*$B$11*$F$7*$G$7</x:f>
        <x:v>1093886.6400000004</x:v>
      </x:c>
      <x:c r="G30" s="6" t="str">
        <x:v>Official location + Google hours</x:v>
      </x:c>
      <x:c r="H30" s="6" t="str">
        <x:v>NO — context only</x:v>
      </x:c>
    </x:row>
    <x:row r="31" ht="15" hidden="0" customHeight="1">
      <x:c r="A31" s="6" t="str">
        <x:v>Mohammed Bin Zayed City</x:v>
      </x:c>
      <x:c r="B31" s="6" t="n">
        <x:v>10</x:v>
      </x:c>
      <x:c r="C31" s="6" t="str">
        <x:v>PARSED FROM GOOGLE</x:v>
      </x:c>
      <x:c r="D31" s="43" t="n">
        <x:f>$B$12*B31*$B$10*$B$11*$F$5*$G$5</x:f>
        <x:v>266368.5</x:v>
      </x:c>
      <x:c r="E31" s="43" t="n">
        <x:f>$B$12*B31*$B$10*$B$11*$F$6*$G$6</x:f>
        <x:v>577131.75</x:v>
      </x:c>
      <x:c r="F31" s="43" t="n">
        <x:f>$B$12*B31*$B$10*$B$11*$F$7*$G$7</x:f>
        <x:v>994442.4</x:v>
      </x:c>
      <x:c r="G31" s="6" t="str">
        <x:v>Official location + Google hours</x:v>
      </x:c>
      <x:c r="H31" s="6" t="str">
        <x:v>NO — context only</x:v>
      </x:c>
    </x:row>
    <x:row r="32" ht="15" hidden="0" customHeight="1">
      <x:c r="A32" s="6" t="str">
        <x:v>Nad Al Sheba</x:v>
      </x:c>
      <x:c r="B32" s="6" t="n">
        <x:v>11</x:v>
      </x:c>
      <x:c r="C32" s="6" t="str">
        <x:v>PARSED FROM GOOGLE</x:v>
      </x:c>
      <x:c r="D32" s="43" t="n">
        <x:f>$B$12*B32*$B$10*$B$11*$F$5*$G$5</x:f>
        <x:v>293005.35000000003</x:v>
      </x:c>
      <x:c r="E32" s="43" t="n">
        <x:f>$B$12*B32*$B$10*$B$11*$F$6*$G$6</x:f>
        <x:v>634844.925</x:v>
      </x:c>
      <x:c r="F32" s="43" t="n">
        <x:f>$B$12*B32*$B$10*$B$11*$F$7*$G$7</x:f>
        <x:v>1093886.6400000004</x:v>
      </x:c>
      <x:c r="G32" s="6" t="str">
        <x:v>Official location + Google hours</x:v>
      </x:c>
      <x:c r="H32" s="6" t="str">
        <x:v>NO — context only</x:v>
      </x:c>
    </x:row>
    <x:row r="33" ht="15" hidden="0" customHeight="1">
      <x:c r="A33" s="6" t="str">
        <x:v>Noya Plaza</x:v>
      </x:c>
      <x:c r="B33" s="6" t="n">
        <x:v>11</x:v>
      </x:c>
      <x:c r="C33" s="6" t="str">
        <x:v>PARSED FROM GOOGLE</x:v>
      </x:c>
      <x:c r="D33" s="43" t="n">
        <x:f>$B$12*B33*$B$10*$B$11*$F$5*$G$5</x:f>
        <x:v>293005.35000000003</x:v>
      </x:c>
      <x:c r="E33" s="43" t="n">
        <x:f>$B$12*B33*$B$10*$B$11*$F$6*$G$6</x:f>
        <x:v>634844.925</x:v>
      </x:c>
      <x:c r="F33" s="43" t="n">
        <x:f>$B$12*B33*$B$10*$B$11*$F$7*$G$7</x:f>
        <x:v>1093886.6400000004</x:v>
      </x:c>
      <x:c r="G33" s="6" t="str">
        <x:v>Official location + Google hours</x:v>
      </x:c>
      <x:c r="H33" s="6" t="str">
        <x:v>NO — context only</x:v>
      </x:c>
    </x:row>
    <x:row r="34" ht="15" hidden="0" customHeight="1">
      <x:c r="A34" s="6" t="str">
        <x:v>Ras Al Khaimah</x:v>
      </x:c>
      <x:c r="B34" s="6" t="n">
        <x:v>10</x:v>
      </x:c>
      <x:c r="C34" s="6" t="str">
        <x:v>PARSED FROM GOOGLE</x:v>
      </x:c>
      <x:c r="D34" s="43" t="n">
        <x:f>$B$12*B34*$B$10*$B$11*$F$5*$G$5</x:f>
        <x:v>266368.5</x:v>
      </x:c>
      <x:c r="E34" s="43" t="n">
        <x:f>$B$12*B34*$B$10*$B$11*$F$6*$G$6</x:f>
        <x:v>577131.75</x:v>
      </x:c>
      <x:c r="F34" s="43" t="n">
        <x:f>$B$12*B34*$B$10*$B$11*$F$7*$G$7</x:f>
        <x:v>994442.4</x:v>
      </x:c>
      <x:c r="G34" s="6" t="str">
        <x:v>Official location + Google hours</x:v>
      </x:c>
      <x:c r="H34" s="6" t="str">
        <x:v>NO — context only</x:v>
      </x:c>
    </x:row>
    <x:row r="35" ht="15" hidden="0" customHeight="1">
      <x:c r="A35" s="6" t="str">
        <x:v>Shahama</x:v>
      </x:c>
      <x:c r="B35" s="6" t="n">
        <x:v>12</x:v>
      </x:c>
      <x:c r="C35" s="6" t="str">
        <x:v>PARSED FROM GOOGLE</x:v>
      </x:c>
      <x:c r="D35" s="43" t="n">
        <x:f>$B$12*B35*$B$10*$B$11*$F$5*$G$5</x:f>
        <x:v>319642.2</x:v>
      </x:c>
      <x:c r="E35" s="43" t="n">
        <x:f>$B$12*B35*$B$10*$B$11*$F$6*$G$6</x:f>
        <x:v>692558.1</x:v>
      </x:c>
      <x:c r="F35" s="43" t="n">
        <x:f>$B$12*B35*$B$10*$B$11*$F$7*$G$7</x:f>
        <x:v>1193330.8800000001</x:v>
      </x:c>
      <x:c r="G35" s="6" t="str">
        <x:v>Official location + Google hours</x:v>
      </x:c>
      <x:c r="H35" s="6" t="str">
        <x:v>NO — context only</x:v>
      </x:c>
    </x:row>
    <x:row r="36" ht="15" hidden="0" customHeight="1">
      <x:c r="A36" s="6" t="str">
        <x:v>Shakhbout City</x:v>
      </x:c>
      <x:c r="B36" s="6" t="n">
        <x:v>10</x:v>
      </x:c>
      <x:c r="C36" s="6" t="str">
        <x:v>PARSED FROM GOOGLE</x:v>
      </x:c>
      <x:c r="D36" s="43" t="n">
        <x:f>$B$12*B36*$B$10*$B$11*$F$5*$G$5</x:f>
        <x:v>266368.5</x:v>
      </x:c>
      <x:c r="E36" s="43" t="n">
        <x:f>$B$12*B36*$B$10*$B$11*$F$6*$G$6</x:f>
        <x:v>577131.75</x:v>
      </x:c>
      <x:c r="F36" s="43" t="n">
        <x:f>$B$12*B36*$B$10*$B$11*$F$7*$G$7</x:f>
        <x:v>994442.4</x:v>
      </x:c>
      <x:c r="G36" s="6" t="str">
        <x:v>Official location + Google hours</x:v>
      </x:c>
      <x:c r="H36" s="6" t="str">
        <x:v>NO — context only</x:v>
      </x:c>
    </x:row>
    <x:row r="37" ht="15" hidden="0" customHeight="1">
      <x:c r="A37" s="6" t="str">
        <x:v>Westyas Branch</x:v>
      </x:c>
      <x:c r="B37" s="6" t="n">
        <x:v>11</x:v>
      </x:c>
      <x:c r="C37" s="6" t="str">
        <x:v>PARSED FROM GOOGLE</x:v>
      </x:c>
      <x:c r="D37" s="43" t="n">
        <x:f>$B$12*B37*$B$10*$B$11*$F$5*$G$5</x:f>
        <x:v>293005.35000000003</x:v>
      </x:c>
      <x:c r="E37" s="43" t="n">
        <x:f>$B$12*B37*$B$10*$B$11*$F$6*$G$6</x:f>
        <x:v>634844.925</x:v>
      </x:c>
      <x:c r="F37" s="43" t="n">
        <x:f>$B$12*B37*$B$10*$B$11*$F$7*$G$7</x:f>
        <x:v>1093886.6400000004</x:v>
      </x:c>
      <x:c r="G37" s="6" t="str">
        <x:v>Official location + Google hours</x:v>
      </x:c>
      <x:c r="H37" s="6" t="str">
        <x:v>NO — context only</x:v>
      </x:c>
    </x:row>
    <x:row r="38" ht="15" hidden="0" customHeight="1">
      <x:c r="A38" s="6" t="str">
        <x:v>Zawaya Walk</x:v>
      </x:c>
      <x:c r="B38" s="6" t="n">
        <x:v>9</x:v>
      </x:c>
      <x:c r="C38" s="6" t="str">
        <x:v>PARSED FROM GOOGLE</x:v>
      </x:c>
      <x:c r="D38" s="43" t="n">
        <x:f>$B$12*B38*$B$10*$B$11*$F$5*$G$5</x:f>
        <x:v>239731.65000000002</x:v>
      </x:c>
      <x:c r="E38" s="43" t="n">
        <x:f>$B$12*B38*$B$10*$B$11*$F$6*$G$6</x:f>
        <x:v>519418.575</x:v>
      </x:c>
      <x:c r="F38" s="43" t="n">
        <x:f>$B$12*B38*$B$10*$B$11*$F$7*$G$7</x:f>
        <x:v>894998.16</x:v>
      </x:c>
      <x:c r="G38" s="6" t="str">
        <x:v>Official location + Google hours</x:v>
      </x:c>
      <x:c r="H38" s="6" t="str">
        <x:v>NO — context only</x:v>
      </x:c>
    </x:row>
    <x:row r="39" ht="15" hidden="0" customHeight="1">
      <x:c r="A39" s="6" t="str">
        <x:v>Zayed International Airport</x:v>
      </x:c>
      <x:c r="B39" s="6" t="n">
        <x:v>24</x:v>
      </x:c>
      <x:c r="C39" s="6" t="str">
        <x:v>PARSED FROM GOOGLE</x:v>
      </x:c>
      <x:c r="D39" s="43" t="n">
        <x:f>$B$12*B39*$B$10*$B$11*$F$5*$G$5</x:f>
        <x:v>639284.4</x:v>
      </x:c>
      <x:c r="E39" s="43" t="n">
        <x:f>$B$12*B39*$B$10*$B$11*$F$6*$G$6</x:f>
        <x:v>1385116.2</x:v>
      </x:c>
      <x:c r="F39" s="43" t="n">
        <x:f>$B$12*B39*$B$10*$B$11*$F$7*$G$7</x:f>
        <x:v>2386661.7600000002</x:v>
      </x:c>
      <x:c r="G39" s="6" t="str">
        <x:v>Official location + Google hours</x:v>
      </x:c>
      <x:c r="H39" s="6" t="str">
        <x:v>NO — context only</x:v>
      </x:c>
    </x:row>
    <x:row r="40"/>
    <x:row r="41" ht="15" hidden="0" customHeight="1">
      <x:c r="A41" s="27" t="str">
        <x:v>Model boundary</x:v>
      </x:c>
      <x:c r="B41" s="27"/>
      <x:c r="C41" s="27"/>
      <x:c r="D41" s="27"/>
      <x:c r="E41" s="27"/>
      <x:c r="F41" s="27"/>
      <x:c r="G41" s="27"/>
      <x:c r="H41" s="27"/>
    </x:row>
    <x:row r="42" ht="15" hidden="0" customHeight="1">
      <x:c r="A42" s="27" t="str">
        <x:v>Combines public opening hours with official price/duration productivity. Staff and occupancy are assumptions because branch headcount, chairs, bookings and utilization are not public.</x:v>
      </x:c>
      <x:c r="B42" s="27"/>
      <x:c r="C42" s="27"/>
      <x:c r="D42" s="27"/>
      <x:c r="E42" s="27"/>
      <x:c r="F42" s="27"/>
      <x:c r="G42" s="27"/>
      <x:c r="H42" s="27"/>
    </x:row>
    <x:row r="43" ht="15" hidden="0" customHeight="1">
      <x:c r="A43" s="27" t="str">
        <x:v>This is theoretical gross service-sales capacity, not revenue, profit or cash flow. Service availability and mix may differ by branch.</x:v>
      </x:c>
      <x:c r="B43" s="27"/>
      <x:c r="C43" s="27"/>
      <x:c r="D43" s="27"/>
      <x:c r="E43" s="27"/>
      <x:c r="F43" s="27"/>
      <x:c r="G43" s="27"/>
      <x:c r="H43" s="27"/>
    </x:row>
    <x:row r="44" ht="15" hidden="0" customHeight="1">
      <x:c r="A44" s="27" t="str">
        <x:v>Use for sensitivity and data-gap discussion; do not feed into PROTECT/HOLD/SHRINK until internal operating data validates it.</x:v>
      </x:c>
      <x:c r="B44" s="27"/>
      <x:c r="C44" s="27"/>
      <x:c r="D44" s="27"/>
      <x:c r="E44" s="27"/>
      <x:c r="F44" s="27"/>
      <x:c r="G44" s="27"/>
      <x:c r="H44" s="27"/>
    </x:row>
  </x:sheetData>
  <x:mergeCells>
    <x:mergeCell ref="A1:H2"/>
    <x:mergeCell ref="A41:H41"/>
    <x:mergeCell ref="A42:H42"/>
    <x:mergeCell ref="A43:H43"/>
    <x:mergeCell ref="A44:H4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5" hidden="0" customWidth="1"/>
    <x:col min="3" max="3" width="55" hidden="0" customWidth="1"/>
    <x:col min="5" max="5" width="60" hidden="0" customWidth="1"/>
  </x:cols>
  <x:sheetData>
    <x:row r="1" ht="15" hidden="0" customHeight="1">
      <x:c r="A1" s="42" t="str">
        <x:v>Source ID</x:v>
      </x:c>
      <x:c r="B1" s="42" t="str">
        <x:v>Dataset / claim</x:v>
      </x:c>
      <x:c r="C1" s="42" t="str">
        <x:v>Source URL</x:v>
      </x:c>
      <x:c r="D1" s="42" t="str">
        <x:v>Status</x:v>
      </x:c>
      <x:c r="E1" s="42" t="str">
        <x:v>Notes</x:v>
      </x:c>
    </x:row>
    <x:row r="2" ht="15" hidden="0" customHeight="1">
      <x:c r="A2" s="6" t="str">
        <x:v>SRC-01</x:v>
      </x:c>
      <x:c r="B2" s="6" t="str">
        <x:v>Hair services and prices</x:v>
      </x:c>
      <x:c r="C2" s="6" t="str">
        <x:v>https://bedashingbeauty.com/service/hair/</x:v>
      </x:c>
      <x:c r="D2" s="6" t="str">
        <x:v>Official</x:v>
      </x:c>
      <x:c r="E2" s="6" t="str">
        <x:v>Page states inclusive of 5% VAT.</x:v>
      </x:c>
    </x:row>
    <x:row r="3" ht="15" hidden="0" customHeight="1">
      <x:c r="A3" s="6" t="str">
        <x:v>SRC-02</x:v>
      </x:c>
      <x:c r="B3" s="6" t="str">
        <x:v>Nails services and prices</x:v>
      </x:c>
      <x:c r="C3" s="6" t="str">
        <x:v>https://bedashingbeauty.com/service/nails/</x:v>
      </x:c>
      <x:c r="D3" s="6" t="str">
        <x:v>Official</x:v>
      </x:c>
      <x:c r="E3" s="6" t="str">
        <x:v>Page states inclusive of 5% VAT.</x:v>
      </x:c>
    </x:row>
    <x:row r="4" ht="15" hidden="0" customHeight="1">
      <x:c r="A4" s="6" t="str">
        <x:v>SRC-03</x:v>
      </x:c>
      <x:c r="B4" s="6" t="str">
        <x:v>Face services and prices</x:v>
      </x:c>
      <x:c r="C4" s="6" t="str">
        <x:v>https://bedashingbeauty.com/service/face/</x:v>
      </x:c>
      <x:c r="D4" s="6" t="str">
        <x:v>Official</x:v>
      </x:c>
      <x:c r="E4" s="6" t="str">
        <x:v>Page states inclusive of 5% VAT.</x:v>
      </x:c>
    </x:row>
    <x:row r="5" ht="15" hidden="0" customHeight="1">
      <x:c r="A5" s="6" t="str">
        <x:v>SRC-04</x:v>
      </x:c>
      <x:c r="B5" s="6" t="str">
        <x:v>Body &amp; Grooming services and prices</x:v>
      </x:c>
      <x:c r="C5" s="6" t="str">
        <x:v>https://bedashingbeauty.com/service/body-grooming/</x:v>
      </x:c>
      <x:c r="D5" s="6" t="str">
        <x:v>Official</x:v>
      </x:c>
      <x:c r="E5" s="6" t="str">
        <x:v>Page states inclusive of 5% VAT.</x:v>
      </x:c>
    </x:row>
    <x:row r="6" ht="15" hidden="0" customHeight="1">
      <x:c r="A6" s="6" t="str">
        <x:v>SRC-05</x:v>
      </x:c>
      <x:c r="B6" s="6" t="str">
        <x:v>Romoosh Lash Bar looks and prices</x:v>
      </x:c>
      <x:c r="C6" s="6" t="str">
        <x:v>https://bedashingbeauty.com/service/the-romoosh-lash-bar/</x:v>
      </x:c>
      <x:c r="D6" s="6" t="str">
        <x:v>Official</x:v>
      </x:c>
      <x:c r="E6" s="6" t="str">
        <x:v>Page states exclusive of 5% VAT.</x:v>
      </x:c>
    </x:row>
    <x:row r="7" ht="15" hidden="0" customHeight="1">
      <x:c r="A7" s="6" t="str">
        <x:v>SRC-06</x:v>
      </x:c>
      <x:c r="B7" s="6" t="str">
        <x:v>Official lounge network</x:v>
      </x:c>
      <x:c r="C7" s="6" t="str">
        <x:v>https://bedashingbeauty.com/lounges/</x:v>
      </x:c>
      <x:c r="D7" s="6" t="str">
        <x:v>Official</x:v>
      </x:c>
      <x:c r="E7" s="6" t="str">
        <x:v>24 branch records in supplied branches.csv.</x:v>
      </x:c>
    </x:row>
    <x:row r="8" ht="15" hidden="0" customHeight="1">
      <x:c r="A8" s="6" t="str">
        <x:v>SRC-07</x:v>
      </x:c>
      <x:c r="B8" s="6" t="str">
        <x:v>Google ratings and location enrichment</x:v>
      </x:c>
      <x:c r="C8" s="6" t="str">
        <x:v>Google Places API (New)</x:v>
      </x:c>
      <x:c r="D8" s="6" t="str">
        <x:v>Public API</x:v>
      </x:c>
      <x:c r="E8" s="6" t="str">
        <x:v>Time-sensitive; use retrieved_at and Place ID.</x:v>
      </x:c>
    </x:row>
    <x:row r="9" ht="26.399999618530273" hidden="0" customHeight="1">
      <x:c r="A9" s="6" t="str">
        <x:v>SRC-08</x:v>
      </x:c>
      <x:c r="B9" s="6" t="str">
        <x:v>Revenue scenario inputs</x:v>
      </x:c>
      <x:c r="C9" s="6" t="str">
        <x:v>User-editable assumptions</x:v>
      </x:c>
      <x:c r="D9" s="6" t="str">
        <x:v>Assumption</x:v>
      </x:c>
      <x:c r="E9" s="6" t="str">
        <x:v>No actual branch revenue is claimed.</x:v>
      </x:c>
    </x:row>
    <x:row r="10" ht="15" hidden="0" customHeight="1">
      <x:c r="A10" s="6"/>
      <x:c r="B10" s="6"/>
      <x:c r="C10" s="6"/>
      <x:c r="D10" s="6"/>
      <x:c r="E10" s="6"/>
    </x:row>
    <x:row r="11" ht="26.399999618530273" hidden="0" customHeight="1">
      <x:c r="A11" s="44" t="str">
        <x:v>Quality flag</x:v>
      </x:c>
      <x:c r="B11" s="44" t="str">
        <x:v>Meaning</x:v>
      </x:c>
      <x:c r="C11" s="44" t="str"/>
      <x:c r="D11" s="44" t="str"/>
      <x:c r="E11" s="44" t="str"/>
    </x:row>
    <x:row r="12" ht="15" hidden="0" customHeight="1">
      <x:c r="A12" s="6" t="str">
        <x:v>OK</x:v>
      </x:c>
      <x:c r="B12" s="6" t="str">
        <x:v>Directly transcribed from official service page.</x:v>
      </x:c>
      <x:c r="C12" s="6"/>
      <x:c r="D12" s="6"/>
      <x:c r="E12" s="6"/>
    </x:row>
    <x:row r="13" ht="39.599998474121094" hidden="0" customHeight="1">
      <x:c r="A13" s="6" t="str">
        <x:v>REVIEW_DURATION</x:v>
      </x:c>
      <x:c r="B13" s="6" t="str">
        <x:v>Price present, duration absent in extracted official table.</x:v>
      </x:c>
      <x:c r="C13" s="6"/>
      <x:c r="D13" s="6"/>
      <x:c r="E13" s="6"/>
    </x:row>
    <x:row r="14" ht="26.399999618530273" hidden="0" customHeight="1">
      <x:c r="A14" s="6" t="str">
        <x:v>REVIEW_PRICE</x:v>
      </x:c>
      <x:c r="B14" s="6" t="str">
        <x:v>Official value retained but looks unusual; confirm manually before financial use.</x:v>
      </x:c>
      <x:c r="C14" s="6"/>
      <x:c r="D14" s="6"/>
      <x:c r="E14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8" hidden="0" customWidth="1"/>
  </x:cols>
  <x:sheetData>
    <x:row r="1" ht="15" hidden="0" customHeight="1">
      <x:c r="A1" s="28" t="str">
        <x:v>Check</x:v>
      </x:c>
      <x:c r="B1" s="28" t="str">
        <x:v>Actual</x:v>
      </x:c>
      <x:c r="C1" s="28" t="str">
        <x:v>Expected</x:v>
      </x:c>
      <x:c r="D1" s="28" t="str">
        <x:v>Difference</x:v>
      </x:c>
      <x:c r="E1" s="28" t="str">
        <x:v>Status</x:v>
      </x:c>
      <x:c r="F1" s="28" t="str">
        <x:v>Notes</x:v>
      </x:c>
    </x:row>
    <x:row r="2" ht="15" hidden="0" customHeight="1">
      <x:c r="A2" t="str">
        <x:v>Service variants</x:v>
      </x:c>
      <x:c r="B2" t="n">
        <x:f>COUNTA('Official Services'!A2:A251)</x:f>
        <x:v>250</x:v>
      </x:c>
      <x:c r="C2" t="n">
        <x:v>250</x:v>
      </x:c>
      <x:c r="D2" t="n">
        <x:f>B2-C2</x:f>
        <x:v>0</x:v>
      </x:c>
      <x:c r="E2" t="str">
        <x:f>IF(D2=0,"OK","CHECK")</x:f>
        <x:v>OK</x:v>
      </x:c>
    </x:row>
    <x:row r="3" ht="15" hidden="0" customHeight="1">
      <x:c r="A3" t="str">
        <x:v>Official branches</x:v>
      </x:c>
      <x:c r="B3" t="n">
        <x:f>COUNTA('Branches 24'!A2:A25)</x:f>
        <x:v>24</x:v>
      </x:c>
      <x:c r="C3" t="n">
        <x:v>24</x:v>
      </x:c>
      <x:c r="D3" t="n">
        <x:f>B3-C3</x:f>
        <x:v>0</x:v>
      </x:c>
      <x:c r="E3" t="str">
        <x:f>IF(D3=0,"OK","CHECK")</x:f>
        <x:v>OK</x:v>
      </x:c>
    </x:row>
    <x:row r="4" ht="15" hidden="0" customHeight="1">
      <x:c r="A4" t="str">
        <x:v>Missing prices</x:v>
      </x:c>
      <x:c r="B4" t="n">
        <x:f>COUNTBLANK('Official Services'!G2:G251)</x:f>
        <x:v>0</x:v>
      </x:c>
      <x:c r="C4" t="n">
        <x:v>0</x:v>
      </x:c>
      <x:c r="D4" t="n">
        <x:f>B4-C4</x:f>
        <x:v>0</x:v>
      </x:c>
      <x:c r="E4" t="str">
        <x:f>IF(D4=0,"OK","CHECK")</x:f>
        <x:v>OK</x:v>
      </x:c>
    </x:row>
    <x:row r="5" ht="15" hidden="0" customHeight="1">
      <x:c r="A5" t="str">
        <x:v>Review flags</x:v>
      </x:c>
      <x:c r="B5" t="n">
        <x:f>COUNTIF('Official Services'!M2:M251,"&lt;&gt;OK")</x:f>
        <x:v>4</x:v>
      </x:c>
      <x:c r="C5" t="n">
        <x:v>4</x:v>
      </x:c>
      <x:c r="D5" t="n">
        <x:f>B5-C5</x:f>
        <x:v>0</x:v>
      </x:c>
      <x:c r="E5" t="str">
        <x:f>IF(D5=0,"OK","CHECK")</x:f>
        <x:v>OK</x:v>
      </x:c>
      <x:c r="F5" t="str">
        <x:v>Expected review flags are deliberately retained.</x:v>
      </x:c>
    </x:row>
    <x:row r="6" ht="15" hidden="0" customHeight="1">
      <x:c r="A6" t="str">
        <x:v>Revenue claim status</x:v>
      </x:c>
      <x:c r="B6" t="str">
        <x:v>Scenario proxy only</x:v>
      </x:c>
      <x:c r="C6" t="str">
        <x:v>Scenario proxy only</x:v>
      </x:c>
      <x:c r="D6" t="n">
        <x:v>0</x:v>
      </x:c>
      <x:c r="E6" t="str">
        <x:v>OK</x:v>
      </x:c>
      <x:c r="F6" t="str">
        <x:v>No actual revenue is represented.</x:v>
      </x:c>
    </x:row>
  </x:sheetData>
  <x:pageMargins left="0.7" right="0.7" top="0.75" bottom="0.75" header="0.3" footer="0.3"/>
</x:worksheet>
</file>